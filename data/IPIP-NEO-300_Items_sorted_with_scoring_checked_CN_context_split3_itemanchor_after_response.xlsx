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tx/Downloads/"/>
    </mc:Choice>
  </mc:AlternateContent>
  <xr:revisionPtr revIDLastSave="0" documentId="13_ncr:1_{CF5C703F-D840-C644-AB03-5E76BC0001BB}" xr6:coauthVersionLast="47" xr6:coauthVersionMax="47" xr10:uidLastSave="{00000000-0000-0000-0000-000000000000}"/>
  <bookViews>
    <workbookView xWindow="1000" yWindow="520" windowWidth="27200" windowHeight="15600" activeTab="2" xr2:uid="{00000000-000D-0000-FFFF-FFFF00000000}"/>
  </bookViews>
  <sheets>
    <sheet name="Instructions_说明" sheetId="1" r:id="rId1"/>
    <sheet name="Sheet 1" sheetId="2" r:id="rId2"/>
    <sheet name="Test_Sorted" sheetId="3" r:id="rId3"/>
    <sheet name="Scoring" sheetId="4" r:id="rId4"/>
    <sheet name="Translation_Revision_Log" sheetId="5" r:id="rId5"/>
    <sheet name="Context_Backu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C21" i="4" s="1"/>
  <c r="D7" i="4"/>
  <c r="C7" i="4" s="1"/>
  <c r="D5" i="4"/>
  <c r="C5" i="4" s="1"/>
  <c r="K301" i="3"/>
  <c r="H301" i="3"/>
  <c r="K300" i="3"/>
  <c r="H300" i="3"/>
  <c r="K299" i="3"/>
  <c r="H299" i="3"/>
  <c r="K298" i="3"/>
  <c r="H298" i="3"/>
  <c r="K297" i="3"/>
  <c r="H297" i="3"/>
  <c r="K296" i="3"/>
  <c r="H296" i="3"/>
  <c r="K295" i="3"/>
  <c r="H295" i="3"/>
  <c r="K294" i="3"/>
  <c r="H294" i="3"/>
  <c r="K293" i="3"/>
  <c r="H293" i="3"/>
  <c r="K292" i="3"/>
  <c r="H292" i="3"/>
  <c r="K291" i="3"/>
  <c r="H291" i="3"/>
  <c r="K290" i="3"/>
  <c r="H290" i="3"/>
  <c r="K289" i="3"/>
  <c r="H289" i="3"/>
  <c r="K288" i="3"/>
  <c r="H288" i="3"/>
  <c r="K287" i="3"/>
  <c r="H287" i="3"/>
  <c r="K286" i="3"/>
  <c r="H286" i="3"/>
  <c r="K285" i="3"/>
  <c r="H285" i="3"/>
  <c r="K284" i="3"/>
  <c r="H284" i="3"/>
  <c r="K283" i="3"/>
  <c r="H283" i="3"/>
  <c r="K282" i="3"/>
  <c r="H282" i="3"/>
  <c r="K281" i="3"/>
  <c r="H281" i="3"/>
  <c r="K280" i="3"/>
  <c r="H280" i="3"/>
  <c r="K279" i="3"/>
  <c r="H279" i="3"/>
  <c r="K278" i="3"/>
  <c r="H278" i="3"/>
  <c r="K277" i="3"/>
  <c r="H277" i="3"/>
  <c r="K276" i="3"/>
  <c r="H276" i="3"/>
  <c r="K275" i="3"/>
  <c r="H275" i="3"/>
  <c r="K274" i="3"/>
  <c r="H274" i="3"/>
  <c r="K273" i="3"/>
  <c r="H273" i="3"/>
  <c r="K272" i="3"/>
  <c r="H272" i="3"/>
  <c r="K271" i="3"/>
  <c r="H271" i="3"/>
  <c r="K270" i="3"/>
  <c r="H270" i="3"/>
  <c r="K269" i="3"/>
  <c r="H269" i="3"/>
  <c r="K268" i="3"/>
  <c r="H268" i="3"/>
  <c r="K267" i="3"/>
  <c r="H267" i="3"/>
  <c r="K266" i="3"/>
  <c r="H266" i="3"/>
  <c r="K265" i="3"/>
  <c r="H265" i="3"/>
  <c r="K264" i="3"/>
  <c r="H264" i="3"/>
  <c r="K263" i="3"/>
  <c r="H263" i="3"/>
  <c r="K262" i="3"/>
  <c r="H262" i="3"/>
  <c r="K261" i="3"/>
  <c r="H261" i="3"/>
  <c r="K260" i="3"/>
  <c r="H260" i="3"/>
  <c r="K259" i="3"/>
  <c r="H259" i="3"/>
  <c r="K258" i="3"/>
  <c r="H258" i="3"/>
  <c r="K257" i="3"/>
  <c r="H257" i="3"/>
  <c r="K256" i="3"/>
  <c r="H256" i="3"/>
  <c r="K255" i="3"/>
  <c r="H255" i="3"/>
  <c r="K254" i="3"/>
  <c r="H254" i="3"/>
  <c r="K253" i="3"/>
  <c r="H253" i="3"/>
  <c r="K252" i="3"/>
  <c r="H252" i="3"/>
  <c r="K251" i="3"/>
  <c r="H251" i="3"/>
  <c r="K250" i="3"/>
  <c r="H250" i="3"/>
  <c r="K249" i="3"/>
  <c r="H249" i="3"/>
  <c r="K248" i="3"/>
  <c r="H248" i="3"/>
  <c r="K247" i="3"/>
  <c r="H247" i="3"/>
  <c r="K246" i="3"/>
  <c r="H246" i="3"/>
  <c r="K245" i="3"/>
  <c r="H245" i="3"/>
  <c r="K244" i="3"/>
  <c r="H244" i="3"/>
  <c r="K243" i="3"/>
  <c r="H243" i="3"/>
  <c r="K242" i="3"/>
  <c r="H242" i="3"/>
  <c r="K241" i="3"/>
  <c r="H241" i="3"/>
  <c r="K240" i="3"/>
  <c r="H240" i="3"/>
  <c r="K239" i="3"/>
  <c r="H239" i="3"/>
  <c r="K238" i="3"/>
  <c r="H238" i="3"/>
  <c r="K237" i="3"/>
  <c r="H237" i="3"/>
  <c r="K236" i="3"/>
  <c r="H236" i="3"/>
  <c r="K235" i="3"/>
  <c r="H235" i="3"/>
  <c r="K234" i="3"/>
  <c r="H234" i="3"/>
  <c r="K233" i="3"/>
  <c r="H233" i="3"/>
  <c r="K232" i="3"/>
  <c r="H232" i="3"/>
  <c r="K231" i="3"/>
  <c r="H231" i="3"/>
  <c r="K230" i="3"/>
  <c r="H230" i="3"/>
  <c r="K229" i="3"/>
  <c r="H229" i="3"/>
  <c r="K228" i="3"/>
  <c r="H228" i="3"/>
  <c r="K227" i="3"/>
  <c r="H227" i="3"/>
  <c r="K226" i="3"/>
  <c r="H226" i="3"/>
  <c r="K225" i="3"/>
  <c r="H225" i="3"/>
  <c r="K224" i="3"/>
  <c r="H224" i="3"/>
  <c r="K223" i="3"/>
  <c r="H223" i="3"/>
  <c r="K222" i="3"/>
  <c r="H222" i="3"/>
  <c r="K221" i="3"/>
  <c r="H221" i="3"/>
  <c r="K220" i="3"/>
  <c r="H220" i="3"/>
  <c r="K219" i="3"/>
  <c r="H219" i="3"/>
  <c r="K218" i="3"/>
  <c r="H218" i="3"/>
  <c r="K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10" i="3"/>
  <c r="H210" i="3"/>
  <c r="K209" i="3"/>
  <c r="H209" i="3"/>
  <c r="K208" i="3"/>
  <c r="H208" i="3"/>
  <c r="K207" i="3"/>
  <c r="H207" i="3"/>
  <c r="K206" i="3"/>
  <c r="H206" i="3"/>
  <c r="K205" i="3"/>
  <c r="H205" i="3"/>
  <c r="K204" i="3"/>
  <c r="H204" i="3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195" i="3"/>
  <c r="H195" i="3"/>
  <c r="K194" i="3"/>
  <c r="H194" i="3"/>
  <c r="K193" i="3"/>
  <c r="H193" i="3"/>
  <c r="K192" i="3"/>
  <c r="H192" i="3"/>
  <c r="K191" i="3"/>
  <c r="H191" i="3"/>
  <c r="K190" i="3"/>
  <c r="H190" i="3"/>
  <c r="K189" i="3"/>
  <c r="H189" i="3"/>
  <c r="K188" i="3"/>
  <c r="H188" i="3"/>
  <c r="K187" i="3"/>
  <c r="H187" i="3"/>
  <c r="K186" i="3"/>
  <c r="H186" i="3"/>
  <c r="K185" i="3"/>
  <c r="H185" i="3"/>
  <c r="K184" i="3"/>
  <c r="H184" i="3"/>
  <c r="K183" i="3"/>
  <c r="H183" i="3"/>
  <c r="K182" i="3"/>
  <c r="H182" i="3"/>
  <c r="K181" i="3"/>
  <c r="H181" i="3"/>
  <c r="K180" i="3"/>
  <c r="H180" i="3"/>
  <c r="K179" i="3"/>
  <c r="H179" i="3"/>
  <c r="K178" i="3"/>
  <c r="H178" i="3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65" i="3"/>
  <c r="H165" i="3"/>
  <c r="K164" i="3"/>
  <c r="H164" i="3"/>
  <c r="K163" i="3"/>
  <c r="H163" i="3"/>
  <c r="K162" i="3"/>
  <c r="H162" i="3"/>
  <c r="K161" i="3"/>
  <c r="H161" i="3"/>
  <c r="K160" i="3"/>
  <c r="H160" i="3"/>
  <c r="K159" i="3"/>
  <c r="H159" i="3"/>
  <c r="K158" i="3"/>
  <c r="H158" i="3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50" i="3"/>
  <c r="H150" i="3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18" i="3"/>
  <c r="H118" i="3"/>
  <c r="K117" i="3"/>
  <c r="H117" i="3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48" i="3"/>
  <c r="H48" i="3"/>
  <c r="K47" i="3"/>
  <c r="H47" i="3"/>
  <c r="K46" i="3"/>
  <c r="H46" i="3"/>
  <c r="D13" i="4" s="1"/>
  <c r="C13" i="4" s="1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D15" i="4" s="1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D41" i="4" s="1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D40" i="4" s="1"/>
  <c r="K5" i="3"/>
  <c r="H5" i="3"/>
  <c r="K4" i="3"/>
  <c r="H4" i="3"/>
  <c r="K3" i="3"/>
  <c r="H3" i="3"/>
  <c r="K2" i="3"/>
  <c r="D32" i="4" s="1"/>
  <c r="H2" i="3"/>
  <c r="D43" i="4" l="1"/>
  <c r="C43" i="4" s="1"/>
  <c r="B43" i="4" s="1"/>
  <c r="D39" i="4"/>
  <c r="C39" i="4" s="1"/>
  <c r="B39" i="4" s="1"/>
  <c r="D45" i="4"/>
  <c r="C45" i="4" s="1"/>
  <c r="B45" i="4" s="1"/>
  <c r="C41" i="4"/>
  <c r="B41" i="4" s="1"/>
  <c r="C40" i="4"/>
  <c r="B40" i="4" s="1"/>
  <c r="C32" i="4"/>
  <c r="B32" i="4" s="1"/>
  <c r="C15" i="4"/>
  <c r="B15" i="4" s="1"/>
  <c r="B5" i="4"/>
  <c r="B21" i="4"/>
  <c r="D11" i="4"/>
  <c r="D19" i="4"/>
  <c r="D27" i="4"/>
  <c r="D6" i="4"/>
  <c r="D14" i="4"/>
  <c r="D22" i="4"/>
  <c r="D30" i="4"/>
  <c r="D42" i="4"/>
  <c r="B13" i="4"/>
  <c r="D10" i="4"/>
  <c r="D17" i="4"/>
  <c r="D25" i="4"/>
  <c r="D33" i="4"/>
  <c r="B7" i="4"/>
  <c r="D9" i="4"/>
  <c r="D12" i="4"/>
  <c r="D20" i="4"/>
  <c r="D28" i="4"/>
  <c r="D23" i="4"/>
  <c r="D31" i="4"/>
  <c r="D18" i="4"/>
  <c r="D26" i="4"/>
  <c r="D34" i="4"/>
  <c r="D29" i="4"/>
  <c r="D8" i="4"/>
  <c r="D16" i="4"/>
  <c r="D24" i="4"/>
  <c r="C24" i="4" l="1"/>
  <c r="B24" i="4" s="1"/>
  <c r="C16" i="4"/>
  <c r="B16" i="4" s="1"/>
  <c r="C10" i="4"/>
  <c r="B10" i="4" s="1"/>
  <c r="C29" i="4"/>
  <c r="B29" i="4" s="1"/>
  <c r="C12" i="4"/>
  <c r="B12" i="4" s="1"/>
  <c r="C42" i="4"/>
  <c r="B42" i="4" s="1"/>
  <c r="C34" i="4"/>
  <c r="B34" i="4" s="1"/>
  <c r="C9" i="4"/>
  <c r="B9" i="4" s="1"/>
  <c r="C30" i="4"/>
  <c r="B30" i="4" s="1"/>
  <c r="C26" i="4"/>
  <c r="B26" i="4" s="1"/>
  <c r="C22" i="4"/>
  <c r="B22" i="4" s="1"/>
  <c r="C14" i="4"/>
  <c r="B14" i="4" s="1"/>
  <c r="C33" i="4"/>
  <c r="B33" i="4" s="1"/>
  <c r="C31" i="4"/>
  <c r="B31" i="4" s="1"/>
  <c r="C25" i="4"/>
  <c r="B25" i="4" s="1"/>
  <c r="C6" i="4"/>
  <c r="B6" i="4" s="1"/>
  <c r="C23" i="4"/>
  <c r="B23" i="4" s="1"/>
  <c r="C27" i="4"/>
  <c r="B27" i="4" s="1"/>
  <c r="C28" i="4"/>
  <c r="B28" i="4" s="1"/>
  <c r="C19" i="4"/>
  <c r="B19" i="4" s="1"/>
  <c r="C18" i="4"/>
  <c r="B18" i="4" s="1"/>
  <c r="C17" i="4"/>
  <c r="B17" i="4" s="1"/>
  <c r="C8" i="4"/>
  <c r="B8" i="4" s="1"/>
  <c r="C20" i="4"/>
  <c r="B20" i="4" s="1"/>
  <c r="C11" i="4"/>
  <c r="B11" i="4" s="1"/>
</calcChain>
</file>

<file path=xl/sharedStrings.xml><?xml version="1.0" encoding="utf-8"?>
<sst xmlns="http://schemas.openxmlformats.org/spreadsheetml/2006/main" count="4877" uniqueCount="1325">
  <si>
    <t>作答说明（为了贴合大五人格量表的本意）：</t>
  </si>
  <si>
    <t>1) 请根据你在“过去6–12个月里大多数时候”的真实状态作答，而不是最近某一天/某个特殊情境。</t>
  </si>
  <si>
    <t>2) 1–5分：1=非常不同意，2=不同意，3=一般/不确定，4=同意，5=非常同意。</t>
  </si>
  <si>
    <t>3) 没有对错；请尽量直觉作答，不要反复纠结。</t>
  </si>
  <si>
    <t>4) 计分会自动处理反向题；你只需要在 Test_Sorted 页的“作答(1-5)”列填写即可。</t>
  </si>
  <si>
    <t>5) “Facet_Def/分面定义、Reverse_Warn/反向提醒、Item_Anchor/题目锚点”三列用于帮助理解题意：分面背景、反向逻辑提醒、题目情境锚点；仅作理解参考，不参与计分。</t>
  </si>
  <si>
    <t>Number</t>
  </si>
  <si>
    <t>Sign</t>
  </si>
  <si>
    <t>Key&amp;Num.</t>
  </si>
  <si>
    <t>Item</t>
  </si>
  <si>
    <t>Chinese Translated Item with Subject.</t>
  </si>
  <si>
    <t>+</t>
  </si>
  <si>
    <t>A1_01</t>
  </si>
  <si>
    <t>Trust others.</t>
  </si>
  <si>
    <t>我信任他人。</t>
  </si>
  <si>
    <t>A1_02</t>
  </si>
  <si>
    <t>Believe that others have good intentions.</t>
  </si>
  <si>
    <t>我相信他人是心怀好意的。</t>
  </si>
  <si>
    <t>A1_03</t>
  </si>
  <si>
    <t>Trust what people say.</t>
  </si>
  <si>
    <t>我信任别人说的话。</t>
  </si>
  <si>
    <t>A1_04</t>
  </si>
  <si>
    <t>Believe that people are basically moral.</t>
  </si>
  <si>
    <t>我相信人从根本上来说都是遵守道德的。</t>
  </si>
  <si>
    <t>A1_05</t>
  </si>
  <si>
    <t>Believe in human goodness.</t>
  </si>
  <si>
    <t>我相信人类是善良的。</t>
  </si>
  <si>
    <t>A1_06</t>
  </si>
  <si>
    <t>Think that all will be well.</t>
  </si>
  <si>
    <t>我认为一切事情都会变好。</t>
  </si>
  <si>
    <t>_</t>
  </si>
  <si>
    <t>A1_07</t>
  </si>
  <si>
    <t>Distrust people.</t>
  </si>
  <si>
    <t>我不信任他人。</t>
  </si>
  <si>
    <t>A1_08</t>
  </si>
  <si>
    <t>Suspect hidden motives in others.</t>
  </si>
  <si>
    <t>我怀疑他人另有所谋。</t>
  </si>
  <si>
    <t>A1_09</t>
  </si>
  <si>
    <t>Am wary of others.</t>
  </si>
  <si>
    <t>我对他人心存戒备。</t>
  </si>
  <si>
    <t>A1_10</t>
  </si>
  <si>
    <t>Believe that people are essentially evil.</t>
  </si>
  <si>
    <t>我相信人本质上是邪恶的。</t>
  </si>
  <si>
    <t>A2_01</t>
  </si>
  <si>
    <t>Would never cheat on my taxes.</t>
  </si>
  <si>
    <t>我永远不会作弊。</t>
  </si>
  <si>
    <t>A2_02</t>
  </si>
  <si>
    <t>Stick to the rules.</t>
  </si>
  <si>
    <t>我谨守规则。</t>
  </si>
  <si>
    <t>A2_03</t>
  </si>
  <si>
    <t>Use others for my own ends.</t>
  </si>
  <si>
    <t>我会利用他人达到自己的目的。</t>
  </si>
  <si>
    <t>A2_04</t>
  </si>
  <si>
    <t>Cheat to get ahead.</t>
  </si>
  <si>
    <t>我通过欺骗的方式来换取成功。</t>
  </si>
  <si>
    <t>A2_05</t>
  </si>
  <si>
    <t>Take advantage of others.</t>
  </si>
  <si>
    <t>我会利用他人。</t>
  </si>
  <si>
    <t>A2_06</t>
  </si>
  <si>
    <t>Obstruct others' plans.</t>
  </si>
  <si>
    <t>我会故意阻挠他人的计划。</t>
  </si>
  <si>
    <t>A2_07</t>
  </si>
  <si>
    <t>Use flattery to get ahead.</t>
  </si>
  <si>
    <t>我通过阿谀奉承来取得成功。</t>
  </si>
  <si>
    <t>A2_08</t>
  </si>
  <si>
    <t>Know how to get around the rules.</t>
  </si>
  <si>
    <t>我知道如何钻规则的空子。</t>
  </si>
  <si>
    <t>A2_09</t>
  </si>
  <si>
    <t>Put people under pressure.</t>
  </si>
  <si>
    <t>我会对他人施压。</t>
  </si>
  <si>
    <t>A2_10</t>
  </si>
  <si>
    <t>Pretend to be concerned for others.</t>
  </si>
  <si>
    <t>我会装出关心人的样子。</t>
  </si>
  <si>
    <t>A3_01</t>
  </si>
  <si>
    <t>Am concerned about others.</t>
  </si>
  <si>
    <t>我会关心、挂念他人。</t>
  </si>
  <si>
    <t>A3_02</t>
  </si>
  <si>
    <t>Love to help others.</t>
  </si>
  <si>
    <t>我热爱帮助他人。</t>
  </si>
  <si>
    <t>A3_03</t>
  </si>
  <si>
    <t>Make people feel welcome.</t>
  </si>
  <si>
    <t>我总是让他人感到舒适和温暖。</t>
  </si>
  <si>
    <t>A3_04</t>
  </si>
  <si>
    <t>Anticipate the needs of others.</t>
  </si>
  <si>
    <t>我会为他人的需要着想。</t>
  </si>
  <si>
    <t>A3_05</t>
  </si>
  <si>
    <t>Have a good word for everyone.</t>
  </si>
  <si>
    <t>我会为每个人说好话。</t>
  </si>
  <si>
    <t>A3_06</t>
  </si>
  <si>
    <t>Am indifferent to the feelings of others.</t>
  </si>
  <si>
    <t>我不关心别人的感受。</t>
  </si>
  <si>
    <t>A3_07</t>
  </si>
  <si>
    <t>Take no time for others.</t>
  </si>
  <si>
    <t>我不愿意为别人的事情花时间。</t>
  </si>
  <si>
    <t>A3_08</t>
  </si>
  <si>
    <t>Look down on others.</t>
  </si>
  <si>
    <t>我看不起别人。</t>
  </si>
  <si>
    <t>A3_09</t>
  </si>
  <si>
    <t>Make people feel uncomfortable.</t>
  </si>
  <si>
    <t>我会让别人感到不自在。</t>
  </si>
  <si>
    <t>A3_10</t>
  </si>
  <si>
    <t>Turn my back on others.</t>
  </si>
  <si>
    <t>我对他人置之不理、漠不关心。</t>
  </si>
  <si>
    <t>A4_01</t>
  </si>
  <si>
    <t>Am easy to satisfy.</t>
  </si>
  <si>
    <t>我容易感到满意。</t>
  </si>
  <si>
    <t>A4_02</t>
  </si>
  <si>
    <t>Can't stand confrontations.</t>
  </si>
  <si>
    <t>我无法忍受冲突和对抗。</t>
  </si>
  <si>
    <t>A4_03</t>
  </si>
  <si>
    <t>Hate to seem pushy.</t>
  </si>
  <si>
    <t>我讨厌被认为是咄咄逼人的。</t>
  </si>
  <si>
    <t>A4_04</t>
  </si>
  <si>
    <t>Love a good fight.</t>
  </si>
  <si>
    <t>我会喜欢一场精彩的争斗。</t>
  </si>
  <si>
    <t>A4_05</t>
  </si>
  <si>
    <t>Yell at people.</t>
  </si>
  <si>
    <t>我常对人大喊大叫。</t>
  </si>
  <si>
    <t>A4_06</t>
  </si>
  <si>
    <t>Insult people.</t>
  </si>
  <si>
    <t>我会侮辱别人。</t>
  </si>
  <si>
    <t>A4_07</t>
  </si>
  <si>
    <t>Get back at others.</t>
  </si>
  <si>
    <t>我会报复他人。</t>
  </si>
  <si>
    <t>A4_08</t>
  </si>
  <si>
    <t>Have a sharp tongue.</t>
  </si>
  <si>
    <t>我说话是尖锐的。</t>
  </si>
  <si>
    <t>A4_09</t>
  </si>
  <si>
    <t>Contradict others.</t>
  </si>
  <si>
    <t>我常常反驳他人。</t>
  </si>
  <si>
    <t>A4_10</t>
  </si>
  <si>
    <t>Hold a grudge.</t>
  </si>
  <si>
    <t>我总是心怀怨恨。</t>
  </si>
  <si>
    <t>A5_01</t>
  </si>
  <si>
    <t>Dislike being the center of attention.</t>
  </si>
  <si>
    <t>我不喜欢成为关注的焦点。</t>
  </si>
  <si>
    <t>A5_02</t>
  </si>
  <si>
    <t>Dislike talking about myself.</t>
  </si>
  <si>
    <t>我不喜欢谈论自己。</t>
  </si>
  <si>
    <t>A5_03</t>
  </si>
  <si>
    <t>Consider myself an average person.</t>
  </si>
  <si>
    <t>我认为自己是一个非常普通的人。</t>
  </si>
  <si>
    <t>A5_04</t>
  </si>
  <si>
    <t>Seldom toot my own horn.</t>
  </si>
  <si>
    <t>我很少炫耀自己的成就。</t>
  </si>
  <si>
    <t>A5_05</t>
  </si>
  <si>
    <t>Believe that I am better than others.</t>
  </si>
  <si>
    <t>我相信自己要比别人出色。</t>
  </si>
  <si>
    <t>A5_06</t>
  </si>
  <si>
    <t>Think highly of myself.</t>
  </si>
  <si>
    <t>我对自己的评价很高。</t>
  </si>
  <si>
    <t>A5_07</t>
  </si>
  <si>
    <t>Have a high opinion of myself.</t>
  </si>
  <si>
    <t>我对自己有很高的评价。</t>
  </si>
  <si>
    <t>A5_08</t>
  </si>
  <si>
    <t>Boast about my virtues.</t>
  </si>
  <si>
    <t>我会夸耀自己的长处。</t>
  </si>
  <si>
    <t>A5_09</t>
  </si>
  <si>
    <t>Know the answers to many questions.</t>
  </si>
  <si>
    <t>我知道许多事情的解决方法和答案。</t>
  </si>
  <si>
    <t>A5_10</t>
  </si>
  <si>
    <t>Make myself the center of attention.</t>
  </si>
  <si>
    <t>我会让自己成为注意的焦点。</t>
  </si>
  <si>
    <t>A6_01</t>
  </si>
  <si>
    <t>Sympathize with the homeless.</t>
  </si>
  <si>
    <t>我同情无家可归的人。</t>
  </si>
  <si>
    <t>A6_02</t>
  </si>
  <si>
    <t>Feel sympathy for those who are worse off than myself.</t>
  </si>
  <si>
    <t>我对处境比自己糟糕的人感到同情。</t>
  </si>
  <si>
    <t>A6_03</t>
  </si>
  <si>
    <t>Value cooperation over competition.</t>
  </si>
  <si>
    <t>我更看重合作而不是竞争。</t>
  </si>
  <si>
    <t>A6_04</t>
  </si>
  <si>
    <t>Suffer from others' sorrows.</t>
  </si>
  <si>
    <t>我能从别人的痛苦中感受到痛苦。</t>
  </si>
  <si>
    <t>A6_05</t>
  </si>
  <si>
    <t>Am not interested in other people's problems.</t>
  </si>
  <si>
    <t>我不关心别人的困难。</t>
  </si>
  <si>
    <t>A6_06</t>
  </si>
  <si>
    <t>Try not to think about the needy.</t>
  </si>
  <si>
    <t>我不关心穷苦的人。</t>
  </si>
  <si>
    <t>A6_07</t>
  </si>
  <si>
    <t>Tend to dislike soft_hearted people.</t>
  </si>
  <si>
    <t>我倾向于讨厌心肠柔软的人。</t>
  </si>
  <si>
    <t>A6_08</t>
  </si>
  <si>
    <t>Believe in an eye for an eye.</t>
  </si>
  <si>
    <t>我相信“以牙还牙、以眼还眼”。</t>
  </si>
  <si>
    <t>A6_09</t>
  </si>
  <si>
    <t>Believe people should fend for themselves.</t>
  </si>
  <si>
    <t>我相信人们应该自谋生路。</t>
  </si>
  <si>
    <t>A6_10</t>
  </si>
  <si>
    <t>Can't stand weak people.</t>
  </si>
  <si>
    <t>我不能忍受软弱的人。</t>
  </si>
  <si>
    <t>C1_01</t>
  </si>
  <si>
    <t>Complete tasks successfully.</t>
  </si>
  <si>
    <t>我总是成功的完成任务。</t>
  </si>
  <si>
    <t>C1_02</t>
  </si>
  <si>
    <t>Excel in what I do.</t>
  </si>
  <si>
    <t>我很擅长自己的工作。</t>
  </si>
  <si>
    <t>C1_03</t>
  </si>
  <si>
    <t>Handle tasks smoothly.</t>
  </si>
  <si>
    <t>我能顺利的处理我的工作或任务。</t>
  </si>
  <si>
    <t>C1_04</t>
  </si>
  <si>
    <t>Know how to get things done.</t>
  </si>
  <si>
    <t>我知道如何把事情做好。</t>
  </si>
  <si>
    <t>C1_05</t>
  </si>
  <si>
    <t>Am sure of my ground.</t>
  </si>
  <si>
    <t>我对自己的能力有信心。</t>
  </si>
  <si>
    <t>C1_06</t>
  </si>
  <si>
    <t>Come up with good solutions.</t>
  </si>
  <si>
    <t>我能想出好的解决方案。</t>
  </si>
  <si>
    <t>C1_07</t>
  </si>
  <si>
    <t>Misjudge situations.</t>
  </si>
  <si>
    <t>我总是错误判断情势。</t>
  </si>
  <si>
    <t>C1_08</t>
  </si>
  <si>
    <t>Don't understand things.</t>
  </si>
  <si>
    <t>我常常弄不懂事情。</t>
  </si>
  <si>
    <t>C1_09</t>
  </si>
  <si>
    <t>Have little to contribute.</t>
  </si>
  <si>
    <t>我没做出过什么有用的事。</t>
  </si>
  <si>
    <t>C1_10</t>
  </si>
  <si>
    <t>Don't see the consequences of things.</t>
  </si>
  <si>
    <t>我看不到事情的后果。</t>
  </si>
  <si>
    <t>C2_01</t>
  </si>
  <si>
    <t>Like to tidy up.</t>
  </si>
  <si>
    <t>我喜欢把东西整理的井井有条。</t>
  </si>
  <si>
    <t>C2_02</t>
  </si>
  <si>
    <t>Like order.</t>
  </si>
  <si>
    <t>我喜欢秩序和条理。</t>
  </si>
  <si>
    <t>C2_03</t>
  </si>
  <si>
    <t>Want everything to be "just right."</t>
  </si>
  <si>
    <t>我希望一切都“恰到好处”。</t>
  </si>
  <si>
    <t>C2_04</t>
  </si>
  <si>
    <t>Love order and regularity.</t>
  </si>
  <si>
    <t>我喜欢条理和规律。</t>
  </si>
  <si>
    <t>C2_05</t>
  </si>
  <si>
    <t>Do things according to a plan.</t>
  </si>
  <si>
    <t>我会按计划做事情。</t>
  </si>
  <si>
    <t>C2_06</t>
  </si>
  <si>
    <t>Often forget to put things back in their proper place.</t>
  </si>
  <si>
    <t>我会忘记把东西放回合适的位置。</t>
  </si>
  <si>
    <t>C2_07</t>
  </si>
  <si>
    <t>Leave a mess in my room.</t>
  </si>
  <si>
    <t>我会把我的房间搞的一团乱。</t>
  </si>
  <si>
    <t>C2_08</t>
  </si>
  <si>
    <t>Leave my belongings around.</t>
  </si>
  <si>
    <t>我把我的东西乱放。</t>
  </si>
  <si>
    <t>C2_09</t>
  </si>
  <si>
    <t>Am not bothered by messy people.</t>
  </si>
  <si>
    <t>我不介意和邋遢的人相处。</t>
  </si>
  <si>
    <t>C2_10</t>
  </si>
  <si>
    <t>Am not bothered by disorder.</t>
  </si>
  <si>
    <t>我认为乱七八糟也无所谓。</t>
  </si>
  <si>
    <t>C3_01</t>
  </si>
  <si>
    <t>Keep my promises.</t>
  </si>
  <si>
    <t>我信守自己的承诺。</t>
  </si>
  <si>
    <t>C3_02</t>
  </si>
  <si>
    <t>Tell the truth.</t>
  </si>
  <si>
    <t>我总是说真话。</t>
  </si>
  <si>
    <t>C3_03</t>
  </si>
  <si>
    <t>Try to follow the rules.</t>
  </si>
  <si>
    <t>我努力遵守规则。</t>
  </si>
  <si>
    <t>C3_04</t>
  </si>
  <si>
    <t>Pay my bills on time.</t>
  </si>
  <si>
    <t>我按时付帐或还款。</t>
  </si>
  <si>
    <t>C3_05</t>
  </si>
  <si>
    <t>Listen to my conscience.</t>
  </si>
  <si>
    <t>我听从我的良知。</t>
  </si>
  <si>
    <t>C3_06</t>
  </si>
  <si>
    <t>Break rules.</t>
  </si>
  <si>
    <t>我总是破坏规则。</t>
  </si>
  <si>
    <t>C3_07</t>
  </si>
  <si>
    <t>Break my promises.</t>
  </si>
  <si>
    <t>我违背我的诺言。</t>
  </si>
  <si>
    <t>C3_08</t>
  </si>
  <si>
    <t>Get others to do my duties.</t>
  </si>
  <si>
    <t>我会让别人来做本是我份内的事。</t>
  </si>
  <si>
    <t>C3_09</t>
  </si>
  <si>
    <t>Do the opposite of what is asked.</t>
  </si>
  <si>
    <t>我会做一些与要求相违背的事。</t>
  </si>
  <si>
    <t>C3_10</t>
  </si>
  <si>
    <t>Misrepresent the facts.</t>
  </si>
  <si>
    <t>我会歪曲事实。</t>
  </si>
  <si>
    <t>C4_01</t>
  </si>
  <si>
    <t>Do more than what's expected of me.</t>
  </si>
  <si>
    <t>我会做得比别人对我的期望更多。</t>
  </si>
  <si>
    <t>C4_02</t>
  </si>
  <si>
    <t>Work hard.</t>
  </si>
  <si>
    <t>我努力工作、认真学习。</t>
  </si>
  <si>
    <t>C4_03</t>
  </si>
  <si>
    <t>Go straight for the goal.</t>
  </si>
  <si>
    <t>我做事总是直奔目标而去。</t>
  </si>
  <si>
    <t>C4_04</t>
  </si>
  <si>
    <t>Turn plans into actions.</t>
  </si>
  <si>
    <t>我会把计划变成行动。</t>
  </si>
  <si>
    <t>C4_05</t>
  </si>
  <si>
    <t>Plunge into tasks with all my heart.</t>
  </si>
  <si>
    <t>我总是全心全意的投入到工作或学习中去。</t>
  </si>
  <si>
    <t>C4_06</t>
  </si>
  <si>
    <t>Set high standards for myself and others.</t>
  </si>
  <si>
    <t>我为自己和他人设立高标准。</t>
  </si>
  <si>
    <t>C4_07</t>
  </si>
  <si>
    <t>Demand quality.</t>
  </si>
  <si>
    <t>我对任务完成的质量有要求。</t>
  </si>
  <si>
    <t>C4_08</t>
  </si>
  <si>
    <t>Put little time and effort into my work.</t>
  </si>
  <si>
    <t>我只投入很少时间和精力在工作或学习中。</t>
  </si>
  <si>
    <t>C4_09</t>
  </si>
  <si>
    <t>Do just enough work to get by.</t>
  </si>
  <si>
    <t>我只做足以应付的工作就行。</t>
  </si>
  <si>
    <t>C4_10</t>
  </si>
  <si>
    <t>Am not highly motivated to succeed.</t>
  </si>
  <si>
    <t>我对成功没有强烈的动机。</t>
  </si>
  <si>
    <t>C5_01</t>
  </si>
  <si>
    <t>Am always prepared.</t>
  </si>
  <si>
    <t>我总是时刻为事情做好准备。</t>
  </si>
  <si>
    <t>C5_02</t>
  </si>
  <si>
    <t>Carry out my plans.</t>
  </si>
  <si>
    <t>我能够执行我的计画。</t>
  </si>
  <si>
    <t>C5_03</t>
  </si>
  <si>
    <t>Get chores done right away.</t>
  </si>
  <si>
    <t>我总能很快地做完家务。</t>
  </si>
  <si>
    <t>C5_04</t>
  </si>
  <si>
    <t>Start tasks right away.</t>
  </si>
  <si>
    <t>我能够立刻开始完成任务。</t>
  </si>
  <si>
    <t>C5_05</t>
  </si>
  <si>
    <t>Get to work at once.</t>
  </si>
  <si>
    <t>我能够马上开始干活。</t>
  </si>
  <si>
    <t>C5_06</t>
  </si>
  <si>
    <t>Waste my time.</t>
  </si>
  <si>
    <t>我经常浪费时间。</t>
  </si>
  <si>
    <t>C5_07</t>
  </si>
  <si>
    <t>Have difficulty starting tasks.</t>
  </si>
  <si>
    <t>我很难开始去做事。</t>
  </si>
  <si>
    <t>C5_08</t>
  </si>
  <si>
    <t>Find it difficult to get down to work.</t>
  </si>
  <si>
    <t>我发现我难以静下心来干活。</t>
  </si>
  <si>
    <t>C5_09</t>
  </si>
  <si>
    <t>Need a push to get started.</t>
  </si>
  <si>
    <t>我需要有人催促才能够开始。</t>
  </si>
  <si>
    <t>C5_10</t>
  </si>
  <si>
    <t>Postpone decisions.</t>
  </si>
  <si>
    <t>我在需要做决定时总是拖延。</t>
  </si>
  <si>
    <t>C6_01</t>
  </si>
  <si>
    <t>Avoid mistakes.</t>
  </si>
  <si>
    <t>我总是小心谨慎，避免犯错。</t>
  </si>
  <si>
    <t>C6_02</t>
  </si>
  <si>
    <t>Choose my words with care.</t>
  </si>
  <si>
    <t>我会谨慎地选择要说的话。</t>
  </si>
  <si>
    <t>C6_03</t>
  </si>
  <si>
    <t>Stick to my chosen path.</t>
  </si>
  <si>
    <t>我坚持走我选择的道路。</t>
  </si>
  <si>
    <t>C6_04</t>
  </si>
  <si>
    <t>Jump into things without thinking.</t>
  </si>
  <si>
    <t>我会不经思考地做一些事。</t>
  </si>
  <si>
    <t>C6_05</t>
  </si>
  <si>
    <t>Make rash decisions.</t>
  </si>
  <si>
    <t>我总是草率地做决定。</t>
  </si>
  <si>
    <t>C6_06</t>
  </si>
  <si>
    <t>Rush into things.</t>
  </si>
  <si>
    <t>我总是仓促行事。</t>
  </si>
  <si>
    <t>C6_07</t>
  </si>
  <si>
    <t>Act without thinking.</t>
  </si>
  <si>
    <t>我会不加思考地行动。</t>
  </si>
  <si>
    <t>C6_08</t>
  </si>
  <si>
    <t>Like to act on a whim.</t>
  </si>
  <si>
    <t>我喜欢随心所欲的行动。</t>
  </si>
  <si>
    <t>C6_09</t>
  </si>
  <si>
    <t>Do crazy things.</t>
  </si>
  <si>
    <t>我会做一些疯狂的事。</t>
  </si>
  <si>
    <t>C6_10</t>
  </si>
  <si>
    <t>Often make last_minute plans.</t>
  </si>
  <si>
    <t>我总是把事情拖到最后一分钟。</t>
  </si>
  <si>
    <t>E1_01</t>
  </si>
  <si>
    <t>Make friends easily.</t>
  </si>
  <si>
    <t>我很容易交到朋友。</t>
  </si>
  <si>
    <t>E1_02</t>
  </si>
  <si>
    <t>Feel comfortable around people.</t>
  </si>
  <si>
    <t>我在人多的场合感到自在。</t>
  </si>
  <si>
    <t>E1_03</t>
  </si>
  <si>
    <t>Warm up quickly to others.</t>
  </si>
  <si>
    <t>我能够快速的与他人熟络起来。</t>
  </si>
  <si>
    <t>E1_04</t>
  </si>
  <si>
    <t>Act comfortably with others.</t>
  </si>
  <si>
    <t>我与他人相处随和。</t>
  </si>
  <si>
    <t>E1_05</t>
  </si>
  <si>
    <t>Cheer people up.</t>
  </si>
  <si>
    <t>我能令人高兴起来。</t>
  </si>
  <si>
    <t>E1_06</t>
  </si>
  <si>
    <t>Avoid contacts with others.</t>
  </si>
  <si>
    <t>我避免和他人接触。</t>
  </si>
  <si>
    <t>E1_07</t>
  </si>
  <si>
    <t>Keep others at a distance.</t>
  </si>
  <si>
    <t>我会和他人保持距离。</t>
  </si>
  <si>
    <t>E1_08</t>
  </si>
  <si>
    <t>Am hard to get to know.</t>
  </si>
  <si>
    <t>我难以被理解。</t>
  </si>
  <si>
    <t>E1_09</t>
  </si>
  <si>
    <t>Often feel uncomfortable around others.</t>
  </si>
  <si>
    <t>我在别人面前常常感到不自在。</t>
  </si>
  <si>
    <t>E1_10</t>
  </si>
  <si>
    <t>Am not really interested in others.</t>
  </si>
  <si>
    <t>我没有真的对别人很感兴趣。</t>
  </si>
  <si>
    <t>E2_01</t>
  </si>
  <si>
    <t>Love large parties.</t>
  </si>
  <si>
    <t>我喜欢大型聚会。</t>
  </si>
  <si>
    <t>E2_02</t>
  </si>
  <si>
    <t>Talk to a lot of different people at parties.</t>
  </si>
  <si>
    <t>我在聚会上会和许多不同的人聊天。</t>
  </si>
  <si>
    <t>E2_03</t>
  </si>
  <si>
    <t>Enjoy being part of a group.</t>
  </si>
  <si>
    <t>我喜欢参与群体活动。</t>
  </si>
  <si>
    <t>E2_04</t>
  </si>
  <si>
    <t>Involve others in what I am doing.</t>
  </si>
  <si>
    <t>我会让别人参与我正在做的事情。</t>
  </si>
  <si>
    <t>E2_05</t>
  </si>
  <si>
    <t>Love surprise parties.</t>
  </si>
  <si>
    <t>我喜欢惊喜派对。</t>
  </si>
  <si>
    <t>E2_06</t>
  </si>
  <si>
    <t>Prefer to be alone.</t>
  </si>
  <si>
    <t>我更喜欢独处。</t>
  </si>
  <si>
    <t>E2_07</t>
  </si>
  <si>
    <t>Avoid crowds.</t>
  </si>
  <si>
    <t>我总是避开人群。</t>
  </si>
  <si>
    <t>E2_08</t>
  </si>
  <si>
    <t>Want to be left alone.</t>
  </si>
  <si>
    <t>我想一个人呆着。</t>
  </si>
  <si>
    <t>E2_09</t>
  </si>
  <si>
    <t>Don't like crowded events.</t>
  </si>
  <si>
    <t>我不喜欢人多的活动。</t>
  </si>
  <si>
    <t>E2_10</t>
  </si>
  <si>
    <t>Seek quiet.</t>
  </si>
  <si>
    <t>我会寻求安静。</t>
  </si>
  <si>
    <t>E3_01</t>
  </si>
  <si>
    <t>Take charge.</t>
  </si>
  <si>
    <t>我愿意承担起责任。</t>
  </si>
  <si>
    <t>E3_02</t>
  </si>
  <si>
    <t>Try to lead others.</t>
  </si>
  <si>
    <t>我试图去领导别人。</t>
  </si>
  <si>
    <t>E3_03</t>
  </si>
  <si>
    <t>Take control of things.</t>
  </si>
  <si>
    <t>我会去掌控事物。</t>
  </si>
  <si>
    <t>E3_04</t>
  </si>
  <si>
    <t>Can talk others into doing things.</t>
  </si>
  <si>
    <t>我能说服他人，让他们做些什么。</t>
  </si>
  <si>
    <t>E3_05</t>
  </si>
  <si>
    <t>Seek to influence others.</t>
  </si>
  <si>
    <t>我寻求对他人产生影响。</t>
  </si>
  <si>
    <t>E3_06</t>
  </si>
  <si>
    <t>Wait for others to lead the way.</t>
  </si>
  <si>
    <t>我总是等待别人来领导。</t>
  </si>
  <si>
    <t>E3_07</t>
  </si>
  <si>
    <t>Keep in the background.</t>
  </si>
  <si>
    <t>我总是留在幕后。</t>
  </si>
  <si>
    <t>E3_08</t>
  </si>
  <si>
    <t>Have little to say.</t>
  </si>
  <si>
    <t>我总是话很少。</t>
  </si>
  <si>
    <t>E3_09</t>
  </si>
  <si>
    <t>Don't like to draw attention to myself.</t>
  </si>
  <si>
    <t>我不喜欢引起别人的注意。</t>
  </si>
  <si>
    <t>E3_10</t>
  </si>
  <si>
    <t>Hold back my opinions.</t>
  </si>
  <si>
    <t>我总是保留自己的意见。</t>
  </si>
  <si>
    <t>E4_01</t>
  </si>
  <si>
    <t>Am always busy.</t>
  </si>
  <si>
    <t>我总是在忙。</t>
  </si>
  <si>
    <t>E4_02</t>
  </si>
  <si>
    <t>Am always on the go.</t>
  </si>
  <si>
    <t>我总是忙个不停。</t>
  </si>
  <si>
    <t>E4_03</t>
  </si>
  <si>
    <t>Do a lot in my spare time.</t>
  </si>
  <si>
    <t>我会在空闲的时候做很多事情。</t>
  </si>
  <si>
    <t>E4_04</t>
  </si>
  <si>
    <t>Can manage many things at the same time.</t>
  </si>
  <si>
    <t>我能同时处理许多事情。</t>
  </si>
  <si>
    <t>E4_05</t>
  </si>
  <si>
    <t>React quickly.</t>
  </si>
  <si>
    <t>我的反应很迅速。</t>
  </si>
  <si>
    <t>E4_06</t>
  </si>
  <si>
    <t>Like to take it easy.</t>
  </si>
  <si>
    <t>我喜欢轻松、悠闲。</t>
  </si>
  <si>
    <t>E4_07</t>
  </si>
  <si>
    <t>Like to take my time.</t>
  </si>
  <si>
    <t>我喜欢慢慢来。</t>
  </si>
  <si>
    <t>E4_08</t>
  </si>
  <si>
    <t>Like a leisurely lifestyle.</t>
  </si>
  <si>
    <t>我喜欢悠闲的生活方式。</t>
  </si>
  <si>
    <t>E4_09</t>
  </si>
  <si>
    <t>Let things proceed at their own pace.</t>
  </si>
  <si>
    <t>我会让事情顺其自然。</t>
  </si>
  <si>
    <t>E4_10</t>
  </si>
  <si>
    <t>React slowly.</t>
  </si>
  <si>
    <t>我反应迟缓。</t>
  </si>
  <si>
    <t>E5_01</t>
  </si>
  <si>
    <t>Love excitement.</t>
  </si>
  <si>
    <t>我喜欢刺激。</t>
  </si>
  <si>
    <t>E5_02</t>
  </si>
  <si>
    <t>Seek adventure.</t>
  </si>
  <si>
    <t>我会寻求冒险。</t>
  </si>
  <si>
    <t>E5_03</t>
  </si>
  <si>
    <t>Enjoy being part of a loud crowd.</t>
  </si>
  <si>
    <t>我喜欢加入热闹的团体。</t>
  </si>
  <si>
    <t>E5_04</t>
  </si>
  <si>
    <t>Act wild and crazy.</t>
  </si>
  <si>
    <t>我行为狂野。</t>
  </si>
  <si>
    <t>E5_05</t>
  </si>
  <si>
    <t>Love action.</t>
  </si>
  <si>
    <t>我喜欢行动起来。</t>
  </si>
  <si>
    <t>E5_06</t>
  </si>
  <si>
    <t>Enjoy being reckless.</t>
  </si>
  <si>
    <t>我喜欢鲁莽行事。</t>
  </si>
  <si>
    <t>E5_07</t>
  </si>
  <si>
    <t>Am willing to try anything once.</t>
  </si>
  <si>
    <t>我愿意任何事情都至少尝试一次。</t>
  </si>
  <si>
    <t>E5_08</t>
  </si>
  <si>
    <t>Seek danger.</t>
  </si>
  <si>
    <t>我会想去做一些带有危险性质的事。</t>
  </si>
  <si>
    <t>E5_09</t>
  </si>
  <si>
    <t>Would never go hang gliding or bungee jumping.</t>
  </si>
  <si>
    <t>我不会去滑翔或蹦极。</t>
  </si>
  <si>
    <t>E5_10</t>
  </si>
  <si>
    <t>Dislike loud music.</t>
  </si>
  <si>
    <t>我不喜欢喧闹的音乐。</t>
  </si>
  <si>
    <t>E6_01</t>
  </si>
  <si>
    <t>Radiate joy.</t>
  </si>
  <si>
    <t>我身上洋溢着快乐的气息。</t>
  </si>
  <si>
    <t>E6_02</t>
  </si>
  <si>
    <t>Have a lot of fun.</t>
  </si>
  <si>
    <t>我有很多乐趣。</t>
  </si>
  <si>
    <t>E6_03</t>
  </si>
  <si>
    <t>Love life.</t>
  </si>
  <si>
    <t>我热爱生活。</t>
  </si>
  <si>
    <t>E6_04</t>
  </si>
  <si>
    <t>Look at the bright side of life.</t>
  </si>
  <si>
    <t>我总是看到生活中阳光的一面。</t>
  </si>
  <si>
    <t>E6_05</t>
  </si>
  <si>
    <t>Express childlike joy.</t>
  </si>
  <si>
    <t>我总是表现出孩子般的快乐。</t>
  </si>
  <si>
    <t>E6_06</t>
  </si>
  <si>
    <t>Laugh my way through life.</t>
  </si>
  <si>
    <t>我大笑着面对生活。</t>
  </si>
  <si>
    <t>E6_07</t>
  </si>
  <si>
    <t>Laugh aloud.</t>
  </si>
  <si>
    <t>我总是大声欢笑。</t>
  </si>
  <si>
    <t>E6_08</t>
  </si>
  <si>
    <t>Amuse my friends.</t>
  </si>
  <si>
    <t>我总是逗乐我的朋友。</t>
  </si>
  <si>
    <t>E6_09</t>
  </si>
  <si>
    <t>Am not easily amused.</t>
  </si>
  <si>
    <t>我不容易被逗乐。</t>
  </si>
  <si>
    <t>E6_10</t>
  </si>
  <si>
    <t>Seldom joke around.</t>
  </si>
  <si>
    <t>我很少开玩笑。</t>
  </si>
  <si>
    <t>N1_01</t>
  </si>
  <si>
    <t>Worry about things.</t>
  </si>
  <si>
    <t>我总是对事情感到担忧。</t>
  </si>
  <si>
    <t>N1_02</t>
  </si>
  <si>
    <t>Fear for the worst.</t>
  </si>
  <si>
    <t>我总是害怕最坏的情况发生。</t>
  </si>
  <si>
    <t>N1_03</t>
  </si>
  <si>
    <t>Am afraid of many things.</t>
  </si>
  <si>
    <t>我对许多事情感到害怕。</t>
  </si>
  <si>
    <t>N1_04</t>
  </si>
  <si>
    <t>Get stressed out easily.</t>
  </si>
  <si>
    <t>我容易过于紧张。</t>
  </si>
  <si>
    <t>N1_05</t>
  </si>
  <si>
    <t>Get caught up in my problems.</t>
  </si>
  <si>
    <t>我会沉浸在自己的苦恼中。</t>
  </si>
  <si>
    <t>N1_06</t>
  </si>
  <si>
    <t>Am not easily bothered by things.</t>
  </si>
  <si>
    <t>我不容易被事情所困扰。</t>
  </si>
  <si>
    <t>N1_07</t>
  </si>
  <si>
    <t>Am relaxed most of the time.</t>
  </si>
  <si>
    <t>我大部分时间都是放松的。</t>
  </si>
  <si>
    <t>N1_08</t>
  </si>
  <si>
    <t>Am not easily disturbed by events.</t>
  </si>
  <si>
    <t>我不太容易被突发事件扰乱。</t>
  </si>
  <si>
    <t>N1_09</t>
  </si>
  <si>
    <t>Don't worry about things that have already happened.</t>
  </si>
  <si>
    <t>我不会为那些已经发生了的事发愁。</t>
  </si>
  <si>
    <t>N1_10</t>
  </si>
  <si>
    <t>Adapt easily to new situations.</t>
  </si>
  <si>
    <t>我容易适应新的环境。</t>
  </si>
  <si>
    <t>N2_01</t>
  </si>
  <si>
    <t>Get angry easily.</t>
  </si>
  <si>
    <t>我容易生气。</t>
  </si>
  <si>
    <t>N2_02</t>
  </si>
  <si>
    <t>Get irritated easily.</t>
  </si>
  <si>
    <t>我容易恼怒。</t>
  </si>
  <si>
    <t>N2_03</t>
  </si>
  <si>
    <t>Lose my temper.</t>
  </si>
  <si>
    <t>我容易发脾气。</t>
  </si>
  <si>
    <t>N2_04</t>
  </si>
  <si>
    <t>Get upset easily.</t>
  </si>
  <si>
    <t>我容易感到心烦意乱。</t>
  </si>
  <si>
    <t>N2_05</t>
  </si>
  <si>
    <t>Am often in a bad mood.</t>
  </si>
  <si>
    <t>我经常心情不好。</t>
  </si>
  <si>
    <t>N2_06</t>
  </si>
  <si>
    <t>Am not easily annoyed.</t>
  </si>
  <si>
    <t>我不容易被惹怒。</t>
  </si>
  <si>
    <t>N2_07</t>
  </si>
  <si>
    <t>Rarely get irritated.</t>
  </si>
  <si>
    <t>我很少被激怒。</t>
  </si>
  <si>
    <t>N2_08</t>
  </si>
  <si>
    <t>Seldom get mad.</t>
  </si>
  <si>
    <t>我很少变得恼火。</t>
  </si>
  <si>
    <t>N2_09</t>
  </si>
  <si>
    <t>Keep my cool.</t>
  </si>
  <si>
    <t>我能够保持冷静。</t>
  </si>
  <si>
    <t>N2_10</t>
  </si>
  <si>
    <t>Rarely complain.</t>
  </si>
  <si>
    <t>我很少抱怨。</t>
  </si>
  <si>
    <t>N3_01</t>
  </si>
  <si>
    <t>Often feel blue.</t>
  </si>
  <si>
    <t>我常常感到忧郁。</t>
  </si>
  <si>
    <t>N3_02</t>
  </si>
  <si>
    <t>Dislike myself.</t>
  </si>
  <si>
    <t>我不喜欢自己。</t>
  </si>
  <si>
    <t>N3_03</t>
  </si>
  <si>
    <t>Am often down in the dumps.</t>
  </si>
  <si>
    <t>我经常情绪低落。</t>
  </si>
  <si>
    <t>N3_04</t>
  </si>
  <si>
    <t>Have a low opinion of myself.</t>
  </si>
  <si>
    <t>我对自己的评价很低。</t>
  </si>
  <si>
    <t>N3_05</t>
  </si>
  <si>
    <t>Have frequent mood swings.</t>
  </si>
  <si>
    <t>我的情绪频繁的波动。</t>
  </si>
  <si>
    <t>N3_06</t>
  </si>
  <si>
    <t>Feel desperate.</t>
  </si>
  <si>
    <t>我常常感到绝望。</t>
  </si>
  <si>
    <t>N3_07</t>
  </si>
  <si>
    <t>Feel that my life lacks direction.</t>
  </si>
  <si>
    <t>我感觉自己的生活缺乏方向。</t>
  </si>
  <si>
    <t>N3_08</t>
  </si>
  <si>
    <t>Feel comfortable with myself.</t>
  </si>
  <si>
    <t>我对自己感到舒适愉快。</t>
  </si>
  <si>
    <t>N3_09</t>
  </si>
  <si>
    <t>Seldom feel blue.</t>
  </si>
  <si>
    <t>我很少感到忧郁。</t>
  </si>
  <si>
    <t>N3_10</t>
  </si>
  <si>
    <t>Am very pleased with myself.</t>
  </si>
  <si>
    <t>我对自己感到满意。</t>
  </si>
  <si>
    <t>N4_01</t>
  </si>
  <si>
    <t>Find it difficult to approach others.</t>
  </si>
  <si>
    <t>我觉得接近他人很困难。</t>
  </si>
  <si>
    <t>N4_02</t>
  </si>
  <si>
    <t>Am afraid to draw attention to myself.</t>
  </si>
  <si>
    <t>我害怕引起别人对自己的注意。</t>
  </si>
  <si>
    <t>N4_03</t>
  </si>
  <si>
    <t>Only feel comfortable with friends.</t>
  </si>
  <si>
    <t>我只有和朋友在一起才舒服。</t>
  </si>
  <si>
    <t>N4_04</t>
  </si>
  <si>
    <t>Am easily intimidated.</t>
  </si>
  <si>
    <t>我容易受惊吓。</t>
  </si>
  <si>
    <t>N4_05</t>
  </si>
  <si>
    <t>Am afraid that I will do the wrong thing.</t>
  </si>
  <si>
    <t>我害怕自己会做错事。</t>
  </si>
  <si>
    <t>N4_06</t>
  </si>
  <si>
    <t>Stumble over my words.</t>
  </si>
  <si>
    <t>我说话磕磕绊绊的。</t>
  </si>
  <si>
    <t>N4_07</t>
  </si>
  <si>
    <t>Am not bothered by difficult social situations.</t>
  </si>
  <si>
    <t>我不会被棘手的社交场合困扰。</t>
  </si>
  <si>
    <t>N4_08</t>
  </si>
  <si>
    <t>Am not embarrassed easily.</t>
  </si>
  <si>
    <t>我不容易感到尴尬。</t>
  </si>
  <si>
    <t>N4_09</t>
  </si>
  <si>
    <t>Am comfortable in unfamiliar situations.</t>
  </si>
  <si>
    <t>我即使在不熟悉的场合，我也能感到轻松自在。</t>
  </si>
  <si>
    <t>N4_10</t>
  </si>
  <si>
    <t>Am able to stand up for myself.</t>
  </si>
  <si>
    <t>我能够为了自己挺身而出。</t>
  </si>
  <si>
    <t>N5_01</t>
  </si>
  <si>
    <t>Go on binges.</t>
  </si>
  <si>
    <t>我会暴饮暴食。</t>
  </si>
  <si>
    <t>N5_02</t>
  </si>
  <si>
    <t>Often eat too much.</t>
  </si>
  <si>
    <t>我常常吃的过多。</t>
  </si>
  <si>
    <t>N5_03</t>
  </si>
  <si>
    <t>Don't know why I do some of the things I do.</t>
  </si>
  <si>
    <t>我也不知道自己为什么会去做一些事情。</t>
  </si>
  <si>
    <t>N5_04</t>
  </si>
  <si>
    <t>Do things I later regret.</t>
  </si>
  <si>
    <t>我会做一些自己后来感到后悔的事情。</t>
  </si>
  <si>
    <t>N5_05</t>
  </si>
  <si>
    <t>Love to eat.</t>
  </si>
  <si>
    <t>我喜欢吃东西。</t>
  </si>
  <si>
    <t>N5_06</t>
  </si>
  <si>
    <t>Rarely overindulge.</t>
  </si>
  <si>
    <t>我很少过度放纵。</t>
  </si>
  <si>
    <t>N5_07</t>
  </si>
  <si>
    <t>Easily resist temptations.</t>
  </si>
  <si>
    <t>我很容易就能抵御诱惑。</t>
  </si>
  <si>
    <t>N5_08</t>
  </si>
  <si>
    <t>Am able to control my cravings.</t>
  </si>
  <si>
    <t>我能够控制我的欲望。</t>
  </si>
  <si>
    <t>N5_09</t>
  </si>
  <si>
    <t>Never spend more than I can afford.</t>
  </si>
  <si>
    <t>我从不花超出我承受范围的钱。</t>
  </si>
  <si>
    <t>N5_10</t>
  </si>
  <si>
    <t>Never splurge.</t>
  </si>
  <si>
    <t>我从不大手大脚的花钱。</t>
  </si>
  <si>
    <t>N6_01</t>
  </si>
  <si>
    <t>Panic easily.</t>
  </si>
  <si>
    <t>我容易惊慌。</t>
  </si>
  <si>
    <t>N6_02</t>
  </si>
  <si>
    <t>Become overwhelmed by events.</t>
  </si>
  <si>
    <t>我常常对突发事件感到惊慌失措。</t>
  </si>
  <si>
    <t>N6_03</t>
  </si>
  <si>
    <t>Feel that I'm unable to deal with things.</t>
  </si>
  <si>
    <t>我觉得自己应付不来事情。</t>
  </si>
  <si>
    <t>N6_04</t>
  </si>
  <si>
    <t>Can't make up my mind.</t>
  </si>
  <si>
    <t>我总是不能下定决心。</t>
  </si>
  <si>
    <t>N6_05</t>
  </si>
  <si>
    <t>Get overwhelmed by emotions.</t>
  </si>
  <si>
    <t>我常常被情绪所淹没。</t>
  </si>
  <si>
    <t>N6_06</t>
  </si>
  <si>
    <t>Remain calm under pressure.</t>
  </si>
  <si>
    <t>我在压力下可以保持冷静。</t>
  </si>
  <si>
    <t>N6_07</t>
  </si>
  <si>
    <t>Can handle complex problems.</t>
  </si>
  <si>
    <t>我能够处理复杂的问题。</t>
  </si>
  <si>
    <t>N6_08</t>
  </si>
  <si>
    <t>Know how to cope.</t>
  </si>
  <si>
    <t>我知道如何应对事情。</t>
  </si>
  <si>
    <t>N6_09</t>
  </si>
  <si>
    <t>Readily overcome setbacks.</t>
  </si>
  <si>
    <t>我很容易克服挫折。</t>
  </si>
  <si>
    <t>N6_10</t>
  </si>
  <si>
    <t>Am calm even in tense situations.</t>
  </si>
  <si>
    <t>我即使在紧张的情况下，我也能保持冷静。</t>
  </si>
  <si>
    <t>O1_01</t>
  </si>
  <si>
    <t>Have a vivid imagination.</t>
  </si>
  <si>
    <t>我有丰富的想像力。</t>
  </si>
  <si>
    <t>O1_02</t>
  </si>
  <si>
    <t>Enjoy wild flights of fantasy.</t>
  </si>
  <si>
    <t>我喜欢自由的幻想。</t>
  </si>
  <si>
    <t>O1_03</t>
  </si>
  <si>
    <t>Love to daydream.</t>
  </si>
  <si>
    <t>我喜欢做白日梦。</t>
  </si>
  <si>
    <t>O1_04</t>
  </si>
  <si>
    <t>Like to get lost in thought.</t>
  </si>
  <si>
    <t>我喜欢沉迷于思考之中。</t>
  </si>
  <si>
    <t>O1_05</t>
  </si>
  <si>
    <t>Indulge in my fantasies.</t>
  </si>
  <si>
    <t>我总是沉溺于自己的幻想之中。</t>
  </si>
  <si>
    <t>O1_06</t>
  </si>
  <si>
    <t>Spend time reflecting on things.</t>
  </si>
  <si>
    <t>我会花时间来反思。</t>
  </si>
  <si>
    <t>O1_07</t>
  </si>
  <si>
    <t>Seldom daydream.</t>
  </si>
  <si>
    <t>我很少做白日梦。</t>
  </si>
  <si>
    <t>O1_08</t>
  </si>
  <si>
    <t>Do not have a good imagination.</t>
  </si>
  <si>
    <t>我没有很好的想像力。</t>
  </si>
  <si>
    <t>O1_09</t>
  </si>
  <si>
    <t>Seldom get lost in thought.</t>
  </si>
  <si>
    <t>我很少沉迷于思考之中。</t>
  </si>
  <si>
    <t>O1_10</t>
  </si>
  <si>
    <t>Have difficulty imagining things.</t>
  </si>
  <si>
    <t>我很难想象事物。</t>
  </si>
  <si>
    <t>O2_01</t>
  </si>
  <si>
    <t>Believe in the importance of art.</t>
  </si>
  <si>
    <t>我相信艺术的重要性。</t>
  </si>
  <si>
    <t>O2_02</t>
  </si>
  <si>
    <t>See beauty in things that others might not notice.</t>
  </si>
  <si>
    <t>我能看到事物中别人看不到的美。</t>
  </si>
  <si>
    <t>O2_03</t>
  </si>
  <si>
    <t>Like music.</t>
  </si>
  <si>
    <t>我喜欢音乐。</t>
  </si>
  <si>
    <t>O2_04</t>
  </si>
  <si>
    <t>Love flowers.</t>
  </si>
  <si>
    <t>我喜欢花。</t>
  </si>
  <si>
    <t>O2_05</t>
  </si>
  <si>
    <t>Enjoy the beauty of nature.</t>
  </si>
  <si>
    <t>我享受大自然的美。</t>
  </si>
  <si>
    <t>O2_06</t>
  </si>
  <si>
    <t>Do not like poetry.</t>
  </si>
  <si>
    <t>我不喜欢诗歌。</t>
  </si>
  <si>
    <t>O2_07</t>
  </si>
  <si>
    <t>Do not enjoy going to art museums.</t>
  </si>
  <si>
    <t>我不喜欢去艺术博物馆。</t>
  </si>
  <si>
    <t>O2_08</t>
  </si>
  <si>
    <t>Do not like art.</t>
  </si>
  <si>
    <t>我不喜欢艺术。</t>
  </si>
  <si>
    <t>O2_09</t>
  </si>
  <si>
    <t>Do not like concerts.</t>
  </si>
  <si>
    <t>我不喜欢去音乐会。</t>
  </si>
  <si>
    <t>O2_10</t>
  </si>
  <si>
    <t>Do not enjoy watching dance performances.</t>
  </si>
  <si>
    <t>我不喜欢看舞蹈表演。</t>
  </si>
  <si>
    <t>O3_01</t>
  </si>
  <si>
    <t>Experience my emotions intensely.</t>
  </si>
  <si>
    <t>我能强烈的体察到自己的情绪。</t>
  </si>
  <si>
    <t>O3_02</t>
  </si>
  <si>
    <t>Feel others' emotions.</t>
  </si>
  <si>
    <t>我能够感受到别人的情绪。</t>
  </si>
  <si>
    <t>O3_03</t>
  </si>
  <si>
    <t>Am passionate about causes.</t>
  </si>
  <si>
    <t>我对事业和理想充满激情。</t>
  </si>
  <si>
    <t>O3_04</t>
  </si>
  <si>
    <t>Enjoy examining myself and my life.</t>
  </si>
  <si>
    <t>我喜欢审视自己和生活。</t>
  </si>
  <si>
    <t>O3_05</t>
  </si>
  <si>
    <t>Try to understand myself.</t>
  </si>
  <si>
    <t>我会尝试了解自己。</t>
  </si>
  <si>
    <t>O3_06</t>
  </si>
  <si>
    <t>Rarely notice my emotional reactions.</t>
  </si>
  <si>
    <t>我很少注意到自己的情绪反应。</t>
  </si>
  <si>
    <t>O3_07</t>
  </si>
  <si>
    <t>Don't understand people who get emotional.</t>
  </si>
  <si>
    <t>我不理解那些感情丰富的人。</t>
  </si>
  <si>
    <t>O3_08</t>
  </si>
  <si>
    <t>Seldom get emotional.</t>
  </si>
  <si>
    <t>我很少情绪激动。</t>
  </si>
  <si>
    <t>O3_09</t>
  </si>
  <si>
    <t>Am not easily affected by my emotions.</t>
  </si>
  <si>
    <t>我不容易受自己情绪的影响。</t>
  </si>
  <si>
    <t>O3_10</t>
  </si>
  <si>
    <t>Experience very few emotional highs and lows.</t>
  </si>
  <si>
    <t>我很少体验到情绪的起伏。</t>
  </si>
  <si>
    <t>O4_01</t>
  </si>
  <si>
    <t>Prefer variety to routine.</t>
  </si>
  <si>
    <t>我喜欢变化而非一成不变。</t>
  </si>
  <si>
    <t>O4_02</t>
  </si>
  <si>
    <t>Like to visit new places.</t>
  </si>
  <si>
    <t>我喜欢去一些没去过的地方。</t>
  </si>
  <si>
    <t>O4_03</t>
  </si>
  <si>
    <t>Am interested in many things.</t>
  </si>
  <si>
    <t>我对许多事情感兴趣。</t>
  </si>
  <si>
    <t>O4_04</t>
  </si>
  <si>
    <t>Like to begin new things.</t>
  </si>
  <si>
    <t>我喜欢做没做过的事情。</t>
  </si>
  <si>
    <t>O4_05</t>
  </si>
  <si>
    <t>Prefer to stick with things that I know.</t>
  </si>
  <si>
    <t>我喜欢待在我熟悉的世界里。</t>
  </si>
  <si>
    <t>O4_06</t>
  </si>
  <si>
    <t>Dislike changes.</t>
  </si>
  <si>
    <t>我不喜欢变化。</t>
  </si>
  <si>
    <t>O4_07</t>
  </si>
  <si>
    <t>Am attached to conventional ways.</t>
  </si>
  <si>
    <t>我墨守成规。</t>
  </si>
  <si>
    <t>O4_08</t>
  </si>
  <si>
    <t>Don't like the idea of change.</t>
  </si>
  <si>
    <t>我不喜欢改变得想法。</t>
  </si>
  <si>
    <t>O4_09</t>
  </si>
  <si>
    <t>Am a creature of habit.</t>
  </si>
  <si>
    <t>我是一个遵循习惯的人。</t>
  </si>
  <si>
    <t>O4_10</t>
  </si>
  <si>
    <t>Dislike new foods.</t>
  </si>
  <si>
    <t>我不喜欢尝试新的食物。</t>
  </si>
  <si>
    <t>O5_01</t>
  </si>
  <si>
    <t>Love to read challenging material.</t>
  </si>
  <si>
    <t>我喜欢读有挑战性的文章或书。</t>
  </si>
  <si>
    <t>O5_02</t>
  </si>
  <si>
    <t>Like to solve complex problems.</t>
  </si>
  <si>
    <t>我喜欢解决复杂的问题。</t>
  </si>
  <si>
    <t>O5_03</t>
  </si>
  <si>
    <t>Have a rich vocabulary.</t>
  </si>
  <si>
    <t>我的词汇和表达方式非常丰富。</t>
  </si>
  <si>
    <t>O5_04</t>
  </si>
  <si>
    <t>Can handle a lot of information.</t>
  </si>
  <si>
    <t>我能够处理大量的信息。</t>
  </si>
  <si>
    <t>O5_05</t>
  </si>
  <si>
    <t>Enjoy thinking about things.</t>
  </si>
  <si>
    <t>我喜欢思考问题。</t>
  </si>
  <si>
    <t>O5_06</t>
  </si>
  <si>
    <t>Avoid philosophical discussions.</t>
  </si>
  <si>
    <t>我会避免哲学式的讨论。</t>
  </si>
  <si>
    <t>O5_07</t>
  </si>
  <si>
    <t>Have difficulty understanding abstract ideas.</t>
  </si>
  <si>
    <t>我难以理解抽象的概念。</t>
  </si>
  <si>
    <t>O5_08</t>
  </si>
  <si>
    <t>Am not interested in theoretical discussions.</t>
  </si>
  <si>
    <t>我对理论性的讨论不感兴趣。</t>
  </si>
  <si>
    <t>O5_09</t>
  </si>
  <si>
    <t>Am not interested in abstract ideas.</t>
  </si>
  <si>
    <t>我对抽象的概念不感兴趣。</t>
  </si>
  <si>
    <t>O5_10</t>
  </si>
  <si>
    <t>Avoid difficult reading material.</t>
  </si>
  <si>
    <t>我会避免去阅读那些难读的文章或书。</t>
  </si>
  <si>
    <t>O6_01</t>
  </si>
  <si>
    <t>Tend to vote for liberal political candidates.</t>
  </si>
  <si>
    <t>我更喜欢思想自由、积极变革的人。</t>
  </si>
  <si>
    <t>O6_02</t>
  </si>
  <si>
    <t>Believe that there is no absolute right or wrong.</t>
  </si>
  <si>
    <t>我相信没有绝对的对和错。</t>
  </si>
  <si>
    <t>O6_03</t>
  </si>
  <si>
    <t>Believe that criminals should receive help rather than punishment.</t>
  </si>
  <si>
    <t>我相信罪犯应该得到帮助而不是惩罚。</t>
  </si>
  <si>
    <t>O6_04</t>
  </si>
  <si>
    <t>Tend to vote for conservative political candidates.</t>
  </si>
  <si>
    <t>我更喜欢强调社会秩序，维护传统的人。</t>
  </si>
  <si>
    <t>O6_05</t>
  </si>
  <si>
    <t>Believe that we should be tough on crime.</t>
  </si>
  <si>
    <t>我认为应该严厉的对待违法行为。</t>
  </si>
  <si>
    <t>O6_06</t>
  </si>
  <si>
    <t>Believe in one true religion.</t>
  </si>
  <si>
    <t>我相信有一种真正的宗教。</t>
  </si>
  <si>
    <t>O6_07</t>
  </si>
  <si>
    <t>Believe that too much tax money goes to support artists.</t>
  </si>
  <si>
    <t>我认为给艺术家的公共支出已经太多了。</t>
  </si>
  <si>
    <t>O6_08</t>
  </si>
  <si>
    <t>Believe laws should be strictly enforced.</t>
  </si>
  <si>
    <t>我相信法律应该被严厉的施行。</t>
  </si>
  <si>
    <t>O6_09</t>
  </si>
  <si>
    <t>Believe that we coddle criminals too much.</t>
  </si>
  <si>
    <t>我觉得社会对罪犯过于宽容。</t>
  </si>
  <si>
    <t>O6_10</t>
  </si>
  <si>
    <t>Like to stand during the national anthem.</t>
  </si>
  <si>
    <t>我喜欢在唱国歌时起立。</t>
  </si>
  <si>
    <t>Response (1-5) / 作答(1-5)</t>
  </si>
  <si>
    <t>Item_Anchor（题目锚点）</t>
  </si>
  <si>
    <t>Scored / 计分</t>
  </si>
  <si>
    <t>Facet_Def（分面定义）</t>
  </si>
  <si>
    <t>Reverse_Warn（反向提醒）</t>
  </si>
  <si>
    <t>Facet / 分面(隐藏)</t>
  </si>
  <si>
    <t>• 容易把小问题往坏处想、反复琢磨（如消息未回、任务细节）
• 在等待结果或不确定时更难放松（如考试/面试/体检）</t>
  </si>
  <si>
    <t>[N1] 焦虑｜神经质（Neuroticism）
定义：对潜在威胁与不确定性更敏感，容易担心与紧张
关注：社交评价担忧；健康/安全担忧；未来不确定性担忧</t>
  </si>
  <si>
    <t/>
  </si>
  <si>
    <t>• 看的是人际温暖与亲近感，而非社交技巧高低
• 关键词提示：make / friends / easily</t>
  </si>
  <si>
    <t>[E1] 友善/热情｜外向性（Extraversion）
定义：更温暖、亲近他人，容易主动交流
关注：主动搭话；表达关心；氛围友好</t>
  </si>
  <si>
    <t>• 经常沉浸在联想/幻想/脑内情境（如构思故事、假设情景）
• 更容易把普通事物想出新画面或可能性</t>
  </si>
  <si>
    <t>[O1] 想象力｜开放性（Openness）
定义：内心画面与联想更丰富，常沉浸思考/幻想
关注：白日梦；创意联想；构建情境</t>
  </si>
  <si>
    <t>• 更倾向相信别人是诚恳的（不轻易怀疑动机）
• 在信息不全时更愿意给对方“好意解释”</t>
  </si>
  <si>
    <t>[A1] 信任｜宜人性（Agreeableness）
定义：更倾向相信他人动机良善，不易猜疑
关注：默认善意；少怀疑；愿意托付</t>
  </si>
  <si>
    <t>• 看的是胜任感与解决问题的自信，而非自负
• 关键词提示：complete / tasks / successfully</t>
  </si>
  <si>
    <t>[C1] 自我效能｜尽责性（Conscientiousness）
定义：更自信能把事情做好，感到胜任
关注：能搞定问题；学习快；靠谱</t>
  </si>
  <si>
    <t>• 被打断、被否定或遇到不公平时更容易火大/烦躁
• 即使不爆发，也可能在心里生气、记很久</t>
  </si>
  <si>
    <t>[N2] 愤怒/敌意｜神经质（Neuroticism）
定义：更容易被冒犯、挫折或不公激怒，烦躁感更强
关注：被打断/不公平；批评/否定；内心怒气与抱怨</t>
  </si>
  <si>
    <t>• 看的是对“人群/热闹场合”的偏好强度
• 关键词提示：love / large / parties</t>
  </si>
  <si>
    <t>[E2] 群居/社交性｜外向性（Extraversion）
定义：更偏好人群与热闹活动，享受社交场合
关注：喜欢聚会；结伴活动；不爱独处</t>
  </si>
  <si>
    <t>• 愿意接触艺术活动（音乐会/展览/电影/文学）并能获得愉悦
• 更在意审美与形式感（色彩、旋律、构图等）</t>
  </si>
  <si>
    <t>[O2] 艺术兴趣｜开放性（Openness）
定义：更欣赏艺术与美感，愿意接触艺术活动
关注：音乐/绘画；审美敏感；艺术体验</t>
  </si>
  <si>
    <t>• 是否会为了利益说谎/作弊/钻空子（或相反：坚持诚实）
• 在没有人监督时仍会遵守原则与公平</t>
  </si>
  <si>
    <t>[A2] 坦诚/道德｜宜人性（Agreeableness）
定义：更重视诚实与公平，较少操控或占便宜
关注：不欺骗；不钻空子；遵守原则</t>
  </si>
  <si>
    <t>• 物品与信息更有条理（桌面/文件/房间常保持整洁）
• 不喜欢临时找不到东西，愿意提前整理分类</t>
  </si>
  <si>
    <t>[C2] 条理/整洁｜尽责性（Conscientiousness）
定义：更有秩序感，喜欢整理与规划
关注：收纳整洁；按流程；讨厌混乱</t>
  </si>
  <si>
    <t>• 更容易情绪低落、提不起劲（持续一段时间，而非短暂心情差）
• 对原本喜欢的事也较难感到快乐或满足</t>
  </si>
  <si>
    <t>[N3] 抑郁｜神经质（Neuroticism）
定义：更容易体验低落、无助与消极情绪
关注：情绪低落；自我否定；对生活缺乏乐趣</t>
  </si>
  <si>
    <t>• 更愿意带头决策、组织推进，而不是等别人安排
• 在会议/讨论中更敢表达、争取话语权</t>
  </si>
  <si>
    <t>[E3] 自信/主导｜外向性（Extraversion）
定义：更愿意表达观点并影响他人，敢于带头
关注：发言与主张；领导/决策；不怕冲突</t>
  </si>
  <si>
    <t>• 更容易被人事触动（电影/故事/人际互动引发强烈感受）
• 情绪体验更细腻，喜怒哀乐更“到位”</t>
  </si>
  <si>
    <t>[O3] 情感性｜开放性（Openness）
定义：情绪体验更细腻强烈，容易被触动
关注：易感动；情绪起伏；共鸣强</t>
  </si>
  <si>
    <t>• 看的是愿意为他人付出的倾向，而不是礼貌程度
• 关键词提示：make / people / feel</t>
  </si>
  <si>
    <t>[A3] 利他｜宜人性（Agreeableness）
定义：更愿意帮助他人，乐于付出时间与精力
关注：主动帮忙；慷慨；愿意照顾人</t>
  </si>
  <si>
    <t>• 更重视履行承诺与规则（守时、说到做到）
• 即使没人监督也会把该做的做完</t>
  </si>
  <si>
    <t>[C3] 责任感/守规｜尽责性（Conscientiousness）
定义：更遵守规则与承诺，做事可靠
关注：守时守信；履行义务；按规矩办事</t>
  </si>
  <si>
    <t>• 看的是在“社会评价”情境下的紧张与退缩倾向
• 关键词提示：easily / intimidated</t>
  </si>
  <si>
    <t>[N4] 自我意识/羞怯｜神经质（Neuroticism）
定义：在他人注视或评价下更易紧张、尴尬与退缩
关注：怕出丑；怕被评判；回避成为焦点</t>
  </si>
  <si>
    <t>• 日程更紧凑：总能找到事做，不太爱闲着
• 体力/精力更充沛，行动节奏更快</t>
  </si>
  <si>
    <t>[E4] 活力/活动水平｜外向性（Extraversion）
定义：更忙碌有节奏，行动力与精力更高
关注：日程紧凑；坐不住；喜欢行动</t>
  </si>
  <si>
    <t>• 更愿意尝试新体验（新菜、新路线、新爱好），不喜欢一成不变
• 面对变化较少抗拒，甚至觉得新鲜有趣</t>
  </si>
  <si>
    <t>[O4] 冒险/求新｜开放性（Openness）
定义：更愿意尝试新活动与变化，不拘泥惯例
关注：尝鲜；旅行探索；改变习惯</t>
  </si>
  <si>
    <t>• 看的是在冲突/谈判中的合作 vs 对抗取向
• 关键词提示：easy / satisfy</t>
  </si>
  <si>
    <t>[A4] 合作｜宜人性（Agreeableness）
定义：更愿意妥协与和解，减少对抗
关注：避免争吵；愿意让步；顾全大局</t>
  </si>
  <si>
    <t>• 更愿意设目标并为之努力（提升成绩/技能/绩效）
• 遇到困难也更倾向坚持与加把劲</t>
  </si>
  <si>
    <t>[C4] 成就追求｜尽责性（Conscientiousness）
定义：更有目标与上进心，愿意努力提高
关注：设目标；努力拼；追求更好</t>
  </si>
  <si>
    <t>• 面对美食/零食更难控制量（明知不该仍继续）
• 情绪波动时更可能用吃/买/刷短视频来缓解</t>
  </si>
  <si>
    <t>[N5] 冲动性/放纵｜神经质（Neuroticism）
定义：更难抵御诱惑，容易情绪化满足欲望
关注：食物/消费/娱乐；难以克制；事后后悔</t>
  </si>
  <si>
    <t>• 更追求新奇刺激（如极限项目、冲动旅行、尝试高风险体验）
• 对单调重复更难忍，想“来点刺激”</t>
  </si>
  <si>
    <t>[E5] 刺激寻求｜外向性（Extraversion）
定义：更追求新奇与刺激，不太怕风险
关注：冒险体验；寻求兴奋；不喜单调</t>
  </si>
  <si>
    <t>• 更喜欢思考与讨论复杂观点（为什么、原理、系统）
• 学习新概念/读深度内容会让你更兴奋</t>
  </si>
  <si>
    <t>[O5] 智性/求知｜开放性（Openness）
定义：更享受思考与复杂观念，喜欢讨论
关注：抽象思考；学习新知；辩论/探究</t>
  </si>
  <si>
    <t>• 看的是自我评价的低调程度，不等于自卑
• 关键词提示：dislike / center / attention</t>
  </si>
  <si>
    <t>[A5] 谦逊｜宜人性（Agreeableness）
定义：更不爱炫耀与争功，评价自我更低调
关注：不抢风头；不自夸；接受普通</t>
  </si>
  <si>
    <t>• 看的是执行力与抗拖延能力
• 关键词提示：get / chores / done</t>
  </si>
  <si>
    <t>[C5] 自律｜尽责性（Conscientiousness）
定义：更能坚持完成任务，抗拖延
关注：按时完成；坚持习惯；不半途而废</t>
  </si>
  <si>
    <t>• 压力大时更容易慌、崩溃或需要他人安抚
• 遇到突发状况更难冷静处理（如出错、被催、临时变更）</t>
  </si>
  <si>
    <t>[N6] 脆弱性｜神经质（Neuroticism）
定义：面对压力更易崩溃或需要支持
关注：高压情境失控；需要他人安抚；应对资源不足</t>
  </si>
  <si>
    <t>• 更常感到开心、幽默、愿意开玩笑
• 在一般日子里也较容易体验到愉快</t>
  </si>
  <si>
    <t>[E6] 积极情绪/乐观｜外向性（Extraversion）
定义：更常体验快乐与幽默感，情绪更明亮
关注：常笑；更乐观；更能享受当下</t>
  </si>
  <si>
    <t>• 更愿意质疑权威/传统（不因“大家都这样”就接受）
• 对多元生活方式更包容（不急着用对错评判）</t>
  </si>
  <si>
    <t>[O6] 开放价值/自由主义｜开放性（Openness）
定义：更愿意质疑权威与传统，接受多元观点
关注：不盲从；支持变革；尊重差异</t>
  </si>
  <si>
    <t>• 更容易对弱者/受苦者产生怜悯并愿意帮助
• 看到他人难过时更会被影响、想安慰</t>
  </si>
  <si>
    <t>[A6] 同情/共情｜宜人性（Agreeableness）
定义：更在意他人感受，容易产生怜悯与关怀
关注：体谅弱者；关心他人；不冷漠</t>
  </si>
  <si>
    <t>• 看的是谨慎与深思熟虑倾向，而非胆小
• 关键词提示：avoid / mistakes</t>
  </si>
  <si>
    <t>[C6] 谨慎/深思｜尽责性（Conscientiousness）
定义：更会先思考后行动，避免草率决定
关注：三思；评估风险；不冲动决策</t>
  </si>
  <si>
    <t>• 社交/评价：担心出错、被否定或显得笨拙
• 安全/健康：对疾病、意外、灾害更有危机感
• 变动/不确定：面对变化更易心慌或手足无措</t>
  </si>
  <si>
    <t>• 更容易对人表现亲近与热情（微笑、主动寒暄）
• 初次见面也较快进入轻松聊天状态</t>
  </si>
  <si>
    <t>• 看的是默认他人善意的倾向，不等于天真
• 关键词提示：believe / others / good</t>
  </si>
  <si>
    <t>• 看的是胜任感与解决问题的自信，而非自负
• 关键词提示：excel</t>
  </si>
  <si>
    <t>• 看的是对“人群/热闹场合”的偏好强度
• 关键词提示：talk / lot / different</t>
  </si>
  <si>
    <t>• 看的是诚实与原则感，而非社交圆滑
• 关键词提示：stick / rules</t>
  </si>
  <si>
    <t>• 更容易自责或否定自己（觉得不够好、没价值）
• 遇到挫折时更倾向消沉而非迅速调整</t>
  </si>
  <si>
    <t>• 看的是愿意为他人付出的倾向，而不是礼貌程度
• 关键词提示：anticipate / needs / others</t>
  </si>
  <si>
    <t>• 看的是在“社会评价”情境下的紧张与退缩倾向
• 关键词提示：afraid / wrong / thing</t>
  </si>
  <si>
    <t>• 看的是活动水平与节奏感，而非运动能力
• 关键词提示：always</t>
  </si>
  <si>
    <t>• 看的是在冲突/谈判中的合作 vs 对抗取向
• 关键词提示：can't / stand / confrontations</t>
  </si>
  <si>
    <t>• 关注“克制力/延迟满足”能力，而非道德评价
• 关键词提示：don't / know / things</t>
  </si>
  <si>
    <t>• 看的是认知好奇心与思辨偏好，而非学历
• 关键词提示：love / read / challenging</t>
  </si>
  <si>
    <t>• 看的是自我评价的低调程度，不等于自卑
• 关键词提示：dislike / talking</t>
  </si>
  <si>
    <t>• 看的是执行力与抗拖延能力
• 关键词提示：always / prepared</t>
  </si>
  <si>
    <t>• 看的是价值观开放度：对传统权威与新观念的态度
• 关键词提示：believe / absolute / right</t>
  </si>
  <si>
    <t>• 看的是谨慎与深思熟虑倾向，而非胆小
• 关键词提示：choose / words / care</t>
  </si>
  <si>
    <t>• 看的是人际温暖与亲近感，而非社交技巧高低
• 关键词提示：feel / comfortable / around</t>
  </si>
  <si>
    <t>• 面对新任务更相信自己能搞定并找到方法
• 出问题时更能迅速调整、把事情推进下去</t>
  </si>
  <si>
    <t>• 看的是“被冒犯/受阻时的愤怒反应强度”，不等于一定会发火
• 关键词提示：get / upset / easily</t>
  </si>
  <si>
    <t>• 更享受热闹聚会/多人活动（越多人越来劲）
• 长时间独处可能更无聊或想找人一起</t>
  </si>
  <si>
    <t>• 看的是对艺术与美感的兴趣，而非专业能力
• 关键词提示：see / beauty / things</t>
  </si>
  <si>
    <t>• 看的是诚实与原则感，而非社交圆滑
• 关键词提示：use / flattery / get</t>
  </si>
  <si>
    <t>⚠️ 反向题：按题干字面作答；系统会自动翻分。若你该特质偏高，通常更倾向选“不同意/较低分”。</t>
  </si>
  <si>
    <t>• 看的是秩序与整理倾向，而非审美风格
• 关键词提示：want / everything / right</t>
  </si>
  <si>
    <t>• 看的是影响力与表达主张的倾向，不等于强势
• 关键词提示：talk / others / things</t>
  </si>
  <si>
    <t>• 看的是情绪体验的强度与细腻程度，而非情绪好坏
• 关键词提示：passionate / causes</t>
  </si>
  <si>
    <t>• 看到别人需要时会主动帮一把（时间/精力/资源）
• 更愿意照顾他人感受并付出行动</t>
  </si>
  <si>
    <t>• 看的是责任心与守规矩倾向
• 关键词提示：pay / bills / time</t>
  </si>
  <si>
    <t>• 看的是在“社会评价”情境下的紧张与退缩倾向
• 关键词提示：find / difficult / approach</t>
  </si>
  <si>
    <t>• 看的是活动水平与节奏感，而非运动能力
• 关键词提示：lot / spare / time</t>
  </si>
  <si>
    <t>• 看的是对新奇与变化的开放程度
• 关键词提示：interested / many / things</t>
  </si>
  <si>
    <t>• 看的是在冲突/谈判中的合作 vs 对抗取向
• 关键词提示：hate / seem / pushy</t>
  </si>
  <si>
    <t>• 看的是上进心与目标驱动，而非是否焦虑
• 关键词提示：turn / plans / actions</t>
  </si>
  <si>
    <t>• 关注“克制力/延迟满足”能力，而非道德评价
• 关键词提示：things / later / regret</t>
  </si>
  <si>
    <t>• 看的是对刺激/风险的偏好，不等于鲁莽
• 关键词提示：love / action</t>
  </si>
  <si>
    <t>• 看的是认知好奇心与思辨偏好，而非学历
• 关键词提示：rich / vocabulary</t>
  </si>
  <si>
    <t>• 看的是自我评价的低调程度，不等于自卑
• 关键词提示：consider / average / person</t>
  </si>
  <si>
    <t>• 看的是执行力与抗拖延能力
• 关键词提示：start / tasks / right</t>
  </si>
  <si>
    <t>• 看的是高压下的承受力：是否容易被压垮、失去效率
• 关键词提示：feel / i'm / unable</t>
  </si>
  <si>
    <t>• 看的是价值观开放度：对传统权威与新观念的态度
• 关键词提示：believe / criminals / receive</t>
  </si>
  <si>
    <t>• 看的是共情与怜悯心，而非是否爱哭
• 关键词提示：value / cooperation / competition</t>
  </si>
  <si>
    <t>• 看的是谨慎与深思熟虑倾向，而非胆小
• 关键词提示：stick / chosen / path</t>
  </si>
  <si>
    <t>• 在日常中更容易出现“担心/紧张”的第一反应，而非偶尔的正常警觉
• 关键词提示：get / stressed / easily</t>
  </si>
  <si>
    <t>• 看的是人际温暖与亲近感，而非社交技巧高低
• 关键词提示：act / comfortably / others</t>
  </si>
  <si>
    <t>• 看的是内心世界的丰富度与想象投入度
• 关键词提示：like / get / lost</t>
  </si>
  <si>
    <t>• 看的是默认他人善意的倾向，不等于天真
• 关键词提示：believe / people / basically</t>
  </si>
  <si>
    <t>• 看的是胜任感与解决问题的自信，而非自负
• 关键词提示：sure / ground</t>
  </si>
  <si>
    <t>• 看的是“被冒犯/受阻时的愤怒反应强度”，不等于一定会发火
• 关键词提示：often / bad / mood</t>
  </si>
  <si>
    <t>• 看的是对“人群/热闹场合”的偏好强度
• 关键词提示：involve / others</t>
  </si>
  <si>
    <t>• 看的是对艺术与美感的兴趣，而非专业能力
• 关键词提示：love / flowers</t>
  </si>
  <si>
    <t>• 看的是诚实与原则感，而非社交圆滑
• 关键词提示：use / others / ends</t>
  </si>
  <si>
    <t>• 关注长期的低落/无助感倾向，而不是一天的情绪波动
• 关键词提示：low / opinion</t>
  </si>
  <si>
    <t>• 看的是影响力与表达主张的倾向，不等于强势
• 关键词提示：seek / influence / others</t>
  </si>
  <si>
    <t>• 看的是情绪体验的强度与细腻程度，而非情绪好坏
• 关键词提示：enjoy / examining / life</t>
  </si>
  <si>
    <t>• 看的是愿意为他人付出的倾向，而不是礼貌程度
• 关键词提示：concerned / others</t>
  </si>
  <si>
    <t>• 看的是责任心与守规矩倾向
• 关键词提示：tell / truth</t>
  </si>
  <si>
    <t>• 看的是在“社会评价”情境下的紧张与退缩倾向
• 关键词提示：afraid / draw / attention</t>
  </si>
  <si>
    <t>• 看的是活动水平与节奏感，而非运动能力
• 关键词提示：manage / many / things</t>
  </si>
  <si>
    <t>• 看的是对新奇与变化的开放程度
• 关键词提示：like / begin / new</t>
  </si>
  <si>
    <t>• 看的是在冲突/谈判中的合作 vs 对抗取向
• 关键词提示：sharp / tongue</t>
  </si>
  <si>
    <t>• 看的是上进心与目标驱动，而非是否焦虑
• 关键词提示：plunge / tasks / heart</t>
  </si>
  <si>
    <t>• 看的是对刺激/风险的偏好，不等于鲁莽
• 关键词提示：enjoy / part / loud</t>
  </si>
  <si>
    <t>• 看的是认知好奇心与思辨偏好，而非学历
• 关键词提示：handle / lot / information</t>
  </si>
  <si>
    <t>• 看的是自我评价的低调程度，不等于自卑
• 关键词提示：seldom / toot / horn</t>
  </si>
  <si>
    <t>• 看的是执行力与抗拖延能力
• 关键词提示：get / work</t>
  </si>
  <si>
    <t>• 看的是高压下的承受力：是否容易被压垮、失去效率
• 关键词提示：can't / make / mind</t>
  </si>
  <si>
    <t>• 看的是共情与怜悯心，而非是否爱哭
• 关键词提示：suffer / others / sorrows</t>
  </si>
  <si>
    <t>• 做决定前会多想一步（利弊、后果、风险）
• 不太会冲动拍板，更愿意先评估再行动</t>
  </si>
  <si>
    <t>• 在日常中更容易出现“担心/紧张”的第一反应，而非偶尔的正常警觉
• 关键词提示：get / caught / problems</t>
  </si>
  <si>
    <t>• 看的是人际温暖与亲近感，而非社交技巧高低
• 关键词提示：cheer / people</t>
  </si>
  <si>
    <t>• 看的是内心世界的丰富度与想象投入度
• 关键词提示：indulge / fantasies</t>
  </si>
  <si>
    <t>• 看的是默认他人善意的倾向，不等于天真
• 关键词提示：believe / human / goodness</t>
  </si>
  <si>
    <t>• 看的是胜任感与解决问题的自信，而非自负
• 关键词提示：come / good / solutions</t>
  </si>
  <si>
    <t>• 看的是对“人群/热闹场合”的偏好强度
• 关键词提示：love / surprise / parties</t>
  </si>
  <si>
    <t>• 看的是对艺术与美感的兴趣，而非专业能力
• 关键词提示：enjoy / beauty / nature</t>
  </si>
  <si>
    <t>• 看的是诚实与原则感，而非社交圆滑
• 关键词提示：know / get / around</t>
  </si>
  <si>
    <t>• 看的是秩序与整理倾向，而非审美风格
• 关键词提示：things / according / plan</t>
  </si>
  <si>
    <t>• 关注长期的低落/无助感倾向，而不是一天的情绪波动
• 关键词提示：frequent / mood / swings</t>
  </si>
  <si>
    <t>• 看的是影响力与表达主张的倾向，不等于强势
• 关键词提示：take / control / things</t>
  </si>
  <si>
    <t>• 看的是情绪体验的强度与细腻程度，而非情绪好坏
• 关键词提示：try / understand</t>
  </si>
  <si>
    <t>• 看的是愿意为他人付出的倾向，而不是礼貌程度
• 关键词提示：good / word / everyone</t>
  </si>
  <si>
    <t>• 看的是责任心与守规矩倾向
• 关键词提示：listen / conscience</t>
  </si>
  <si>
    <t>• 看的是在“社会评价”情境下的紧张与退缩倾向
• 关键词提示：feel / comfortable / friends</t>
  </si>
  <si>
    <t>• 看的是活动水平与节奏感，而非运动能力
• 关键词提示：react / quickly</t>
  </si>
  <si>
    <t>• 看的是对新奇与变化的开放程度
• 关键词提示：prefer / stick / things</t>
  </si>
  <si>
    <t>• 看的是在冲突/谈判中的合作 vs 对抗取向
• 关键词提示：contradict / others</t>
  </si>
  <si>
    <t>• 看的是上进心与目标驱动，而非是否焦虑
• 关键词提示：what's / expected</t>
  </si>
  <si>
    <t>• 关注“克制力/延迟满足”能力，而非道德评价
• 关键词提示：love / eat</t>
  </si>
  <si>
    <t>• 看的是对刺激/风险的偏好，不等于鲁莽
• 关键词提示：enjoy / reckless</t>
  </si>
  <si>
    <t>• 面对称赞更低调，不太爱炫耀或抢功
• 较少觉得自己高人一等，愿意承认不足</t>
  </si>
  <si>
    <t>• 看的是执行力与抗拖延能力
• 关键词提示：carry / plans</t>
  </si>
  <si>
    <t>• 看的是积极情绪的基线水平：快乐、轻松与幽默感
• 关键词提示：love / life</t>
  </si>
  <si>
    <t>• 看的是共情与怜悯心，而非是否爱哭
• 关键词提示：interested / people's / problems</t>
  </si>
  <si>
    <t>• 在日常中更容易出现“担心/紧张”的第一反应，而非偶尔的正常警觉
• 关键词提示：easily / bothered / things</t>
  </si>
  <si>
    <t>• 看的是人际温暖与亲近感，而非社交技巧高低
• 关键词提示：hard / get / know</t>
  </si>
  <si>
    <t>• 看的是内心世界的丰富度与想象投入度
• 关键词提示：spend / time / reflecting</t>
  </si>
  <si>
    <t>• 看的是默认他人善意的倾向，不等于天真
• 关键词提示：think / well</t>
  </si>
  <si>
    <t>• 看的是胜任感与解决问题的自信，而非自负
• 关键词提示：know / get / things</t>
  </si>
  <si>
    <t>• 更偏好独处或小圈子（人多会消耗、想躲开）
• 社交后需要较长时间“充电”</t>
  </si>
  <si>
    <t>• 看的是秩序与整理倾向，而非审美风格
• 关键词提示：often / forget / put</t>
  </si>
  <si>
    <t>• 关注长期的低落/无助感倾向，而不是一天的情绪波动
• 关键词提示：feel / desperate</t>
  </si>
  <si>
    <t>• 看的是愿意为他人付出的倾向，而不是礼貌程度
• 关键词提示：look / others</t>
  </si>
  <si>
    <t>• 看的是在“社会评价”情境下的紧张与退缩倾向
• 关键词提示：stumble / words</t>
  </si>
  <si>
    <t>• 更喜欢慢节奏与放松，不爱把自己排满
• 活动量较低：能待着就不动</t>
  </si>
  <si>
    <t>• 冲突中更愿意妥协、找共识（或相反：更爱顶、争到底）
• 更倾向降低对抗、维持关系与团队和谐</t>
  </si>
  <si>
    <t>• 看的是上进心与目标驱动，而非是否焦虑
• 关键词提示：set / high / standards</t>
  </si>
  <si>
    <t>• 看的是对刺激/风险的偏好，不等于鲁莽
• 关键词提示：act / wild / crazy</t>
  </si>
  <si>
    <t>• 看的是自我评价的低调程度，不等于自卑
• 关键词提示：think / highly</t>
  </si>
  <si>
    <t>• 看的是执行力与抗拖延能力
• 关键词提示：find / difficult / get</t>
  </si>
  <si>
    <t>• 看的是高压下的承受力：是否容易被压垮、失去效率
• 关键词提示：remain / calm / pressure</t>
  </si>
  <si>
    <t>• 看的是积极情绪的基线水平：快乐、轻松与幽默感
• 关键词提示：look / bright / side</t>
  </si>
  <si>
    <t>• 看的是价值观开放度：对传统权威与新观念的态度
• 关键词提示：believe / much / tax</t>
  </si>
  <si>
    <t>• 看的是共情与怜悯心，而非是否爱哭
• 关键词提示：tend / dislike / soft</t>
  </si>
  <si>
    <t>• 看的是谨慎与深思熟虑倾向，而非胆小
• 关键词提示：like / act / whim</t>
  </si>
  <si>
    <t>• 在日常中更容易出现“担心/紧张”的第一反应，而非偶尔的正常警觉
• 关键词提示：relaxed / time</t>
  </si>
  <si>
    <t>• 看的是人际温暖与亲近感，而非社交技巧高低
• 关键词提示：often / feel / uncomfortable</t>
  </si>
  <si>
    <t>• 看的是胜任感与解决问题的自信，而非自负
• 关键词提示：misjudge / situations</t>
  </si>
  <si>
    <t>• 看的是诚实与原则感，而非社交圆滑
• 关键词提示：put / people / pressure</t>
  </si>
  <si>
    <t>• 关注长期的低落/无助感倾向，而不是一天的情绪波动
• 关键词提示：feel / life / lacks</t>
  </si>
  <si>
    <t>• 看的是影响力与表达主张的倾向，不等于强势
• 关键词提示：keep / background</t>
  </si>
  <si>
    <t>• 看的是愿意为他人付出的倾向，而不是礼貌程度
• 关键词提示：indifferent / feelings / others</t>
  </si>
  <si>
    <t>• 在被注视/被评价时更容易尴尬、脸红、手足无措
• 担心出丑而回避发言、上台或被点名</t>
  </si>
  <si>
    <t>• 看的是活动水平与节奏感，而非运动能力
• 关键词提示：like / take / time</t>
  </si>
  <si>
    <t>• 看的是在冲突/谈判中的合作 vs 对抗取向
• 关键词提示：yell / people</t>
  </si>
  <si>
    <t>• 看的是上进心与目标驱动，而非是否焦虑
• 关键词提示：demand / quality</t>
  </si>
  <si>
    <t>• 面对诱惑更难说“不”（如消费、娱乐、即时享乐）
• 事后更可能后悔：当下爽、之后觉得不值</t>
  </si>
  <si>
    <t>• 看的是对刺激/风险的偏好，不等于鲁莽
• 关键词提示：willing / try / anything</t>
  </si>
  <si>
    <t>• 看的是自我评价的低调程度，不等于自卑
• 关键词提示：high / opinion</t>
  </si>
  <si>
    <t>• 看的是执行力与抗拖延能力
• 关键词提示：waste / time</t>
  </si>
  <si>
    <t>• 看的是共情与怜悯心，而非是否爱哭
• 关键词提示：believe / eye</t>
  </si>
  <si>
    <t>• 看的是谨慎与深思熟虑倾向，而非胆小
• 关键词提示：rush / things</t>
  </si>
  <si>
    <t>• 在日常中更容易出现“担心/紧张”的第一反应，而非偶尔的正常警觉
• 关键词提示：easily / disturbed / events</t>
  </si>
  <si>
    <t>• 看的是人际温暖与亲近感，而非社交技巧高低
• 关键词提示：avoid / contacts / others</t>
  </si>
  <si>
    <t>• 看的是默认他人善意的倾向，不等于天真
• 关键词提示：suspect / hidden / motives</t>
  </si>
  <si>
    <t>• 看的是胜任感与解决问题的自信，而非自负
• 关键词提示：don't / understand / things</t>
  </si>
  <si>
    <t>• 看的是诚实与原则感，而非社交圆滑
• 关键词提示：pretend / concerned / others</t>
  </si>
  <si>
    <t>• 看的是秩序与整理倾向，而非审美风格
• 关键词提示：leave / belongings / around</t>
  </si>
  <si>
    <t>• 看的是影响力与表达主张的倾向，不等于强势
• 关键词提示：little / say</t>
  </si>
  <si>
    <t>• 看的是责任心与守规矩倾向
• 关键词提示：get / others / duties</t>
  </si>
  <si>
    <t>• 看的是在“社会评价”情境下的紧张与退缩倾向
• 关键词提示：comfortable / unfamiliar / situations</t>
  </si>
  <si>
    <t>• 看的是活动水平与节奏感，而非运动能力
• 关键词提示：like / leisurely / lifestyle</t>
  </si>
  <si>
    <t>• 看的是对新奇与变化的开放程度
• 关键词提示：creature / habit</t>
  </si>
  <si>
    <t>• 看的是在冲突/谈判中的合作 vs 对抗取向
• 关键词提示：insult / people</t>
  </si>
  <si>
    <t>• 看的是上进心与目标驱动，而非是否焦虑
• 关键词提示：highly / motivated / succeed</t>
  </si>
  <si>
    <t>• 关注“克制力/延迟满足”能力，而非道德评价
• 关键词提示：able / control / cravings</t>
  </si>
  <si>
    <t>• 看的是自我评价的低调程度，不等于自卑
• 关键词提示：know / answers / many</t>
  </si>
  <si>
    <t>• 能按计划开始并完成任务（不容易拖到最后一刻）
• 长期目标（运动/学习/存钱）更能坚持</t>
  </si>
  <si>
    <t>• 看的是积极情绪的基线水平：快乐、轻松与幽默感
• 关键词提示：amuse / friends</t>
  </si>
  <si>
    <t>• 看的是价值观开放度：对传统权威与新观念的态度
• 关键词提示：believe / coddle / criminals</t>
  </si>
  <si>
    <t>• 看的是共情与怜悯心，而非是否爱哭
• 关键词提示：try / think / needy</t>
  </si>
  <si>
    <t>• 看的是谨慎与深思熟虑倾向，而非胆小
• 关键词提示：crazy / things</t>
  </si>
  <si>
    <t>• 看的是人际温暖与亲近感，而非社交技巧高低
• 关键词提示：really / interested / others</t>
  </si>
  <si>
    <t>• 看的是内心世界的丰富度与想象投入度
• 关键词提示：seldom / get / lost</t>
  </si>
  <si>
    <t>• 看的是默认他人善意的倾向，不等于天真
• 关键词提示：wary / others</t>
  </si>
  <si>
    <t>• 看的是胜任感与解决问题的自信，而非自负
• 关键词提示：little / contribute</t>
  </si>
  <si>
    <t>• 看的是“被冒犯/受阻时的愤怒反应强度”，不等于一定会发火
• 关键词提示：keep / cool</t>
  </si>
  <si>
    <t>• 看的是对艺术与美感的兴趣，而非专业能力
• 关键词提示：like / concerts</t>
  </si>
  <si>
    <t>• 关注长期的低落/无助感倾向，而不是一天的情绪波动
• 关键词提示：feel / comfortable</t>
  </si>
  <si>
    <t>• 对成为焦点更自在（或相反：会回避/不想出头）
• 在公共场合更敢讲话、展示自己</t>
  </si>
  <si>
    <t>• 看的是愿意为他人付出的倾向，而不是礼貌程度
• 关键词提示：turn / back / others</t>
  </si>
  <si>
    <t>• 看的是责任心与守规矩倾向
• 关键词提示：opposite / asked</t>
  </si>
  <si>
    <t>• 看的是在“社会评价”情境下的紧张与退缩倾向
• 关键词提示：bothered / difficult / social</t>
  </si>
  <si>
    <t>• 看的是活动水平与节奏感，而非运动能力
• 关键词提示：let / things / proceed</t>
  </si>
  <si>
    <t>• 看的是在冲突/谈判中的合作 vs 对抗取向
• 关键词提示：get / back / others</t>
  </si>
  <si>
    <t>• 看的是上进心与目标驱动，而非是否焦虑
• 关键词提示：enough / work / get</t>
  </si>
  <si>
    <t>• 关注“克制力/延迟满足”能力，而非道德评价
• 关键词提示：never / spend / afford</t>
  </si>
  <si>
    <t>• 看的是对刺激/风险的偏好，不等于鲁莽
• 关键词提示：would / never / hang</t>
  </si>
  <si>
    <t>• 看的是认知好奇心与思辨偏好，而非学历
• 关键词提示：interested / theoretical / discussions</t>
  </si>
  <si>
    <t>• 看的是执行力与抗拖延能力
• 关键词提示：difficulty / starting / tasks</t>
  </si>
  <si>
    <t>• 看的是高压下的承受力：是否容易被压垮、失去效率
• 关键词提示：readily / overcome / setbacks</t>
  </si>
  <si>
    <t>• 看的是积极情绪的基线水平：快乐、轻松与幽默感
• 关键词提示：easily / amused</t>
  </si>
  <si>
    <t>• 看的是价值观开放度：对传统权威与新观念的态度
• 关键词提示：believe / tough / crime</t>
  </si>
  <si>
    <t>• 看的是共情与怜悯心，而非是否爱哭
• 关键词提示：believe / people / fend</t>
  </si>
  <si>
    <t>• 在日常中更容易出现“担心/紧张”的第一反应，而非偶尔的正常警觉
• 关键词提示：adapt / easily / new</t>
  </si>
  <si>
    <t>• 看的是人际温暖与亲近感，而非社交技巧高低
• 关键词提示：keep / others / distance</t>
  </si>
  <si>
    <t>• 看的是内心世界的丰富度与想象投入度
• 关键词提示：difficulty / imagining / things</t>
  </si>
  <si>
    <t>• 看的是默认他人善意的倾向，不等于天真
• 关键词提示：believe / people / essentially</t>
  </si>
  <si>
    <t>• 看的是胜任感与解决问题的自信，而非自负
• 关键词提示：don't / see / consequences</t>
  </si>
  <si>
    <t>• 看的是“被冒犯/受阻时的愤怒反应强度”，不等于一定会发火
• 关键词提示：rarely / complain</t>
  </si>
  <si>
    <t>• 看的是对“人群/热闹场合”的偏好强度
• 关键词提示：seek / quiet</t>
  </si>
  <si>
    <t>• 看的是对艺术与美感的兴趣，而非专业能力
• 关键词提示：enjoy / watching / dance</t>
  </si>
  <si>
    <t>• 看的是诚实与原则感，而非社交圆滑
• 关键词提示：obstruct / others / plans</t>
  </si>
  <si>
    <t>• 关注长期的低落/无助感倾向，而不是一天的情绪波动
• 关键词提示：pleased</t>
  </si>
  <si>
    <t>• 看的是影响力与表达主张的倾向，不等于强势
• 关键词提示：hold / back / opinions</t>
  </si>
  <si>
    <t>• 看的是愿意为他人付出的倾向，而不是礼貌程度
• 关键词提示：take / time / others</t>
  </si>
  <si>
    <t>• 看的是责任心与守规矩倾向
• 关键词提示：misrepresent / facts</t>
  </si>
  <si>
    <t>• 看的是在“社会评价”情境下的紧张与退缩倾向
• 关键词提示：able / stand</t>
  </si>
  <si>
    <t>• 看的是对新奇与变化的开放程度
• 关键词提示：attached / conventional / ways</t>
  </si>
  <si>
    <t>• 看的是在冲突/谈判中的合作 vs 对抗取向
• 关键词提示：hold / grudge</t>
  </si>
  <si>
    <t>• 看的是上进心与目标驱动，而非是否焦虑
• 关键词提示：put / little / time</t>
  </si>
  <si>
    <t>• 关注“克制力/延迟满足”能力，而非道德评价
• 关键词提示：never / splurge</t>
  </si>
  <si>
    <t>• 看的是对刺激/风险的偏好，不等于鲁莽
• 关键词提示：dislike / loud / music</t>
  </si>
  <si>
    <t>• 看的是认知好奇心与思辨偏好，而非学历
• 关键词提示：avoid / difficult / reading</t>
  </si>
  <si>
    <t>• 看的是自我评价的低调程度，不等于自卑
• 关键词提示：make / center / attention</t>
  </si>
  <si>
    <t>• 看的是执行力与抗拖延能力
• 关键词提示：postpone / decisions</t>
  </si>
  <si>
    <t>• 看的是高压下的承受力：是否容易被压垮、失去效率
• 关键词提示：calm / even / tense</t>
  </si>
  <si>
    <t>• 若题干表达“很少开心/很少笑”，请按字面回忆频率
• 关注整体情绪基调，而不是偶尔的开心</t>
  </si>
  <si>
    <t>• 看的是价值观开放度：对传统权威与新观念的态度
• 关键词提示：like / stand / national</t>
  </si>
  <si>
    <t>• 看的是共情与怜悯心，而非是否爱哭
• 关键词提示：can't / stand / weak</t>
  </si>
  <si>
    <t>• 看的是谨慎与深思熟虑倾向，而非胆小
• 关键词提示：often / make / last</t>
  </si>
  <si>
    <t>自动算分 / Scoring</t>
  </si>
  <si>
    <t>说明：在“Test_Sorted”工作表的 F 列填写 1-5 分（1=非常不符合 … 5=非常符合），系统会自动反向计分并汇总。</t>
  </si>
  <si>
    <t>Facet（分面）</t>
  </si>
  <si>
    <t>Average（平均分）</t>
  </si>
  <si>
    <t>Sum（总分）</t>
  </si>
  <si>
    <t>Answered（已答题数）</t>
  </si>
  <si>
    <t>A1</t>
  </si>
  <si>
    <t>A2</t>
  </si>
  <si>
    <t>A3</t>
  </si>
  <si>
    <t>A4</t>
  </si>
  <si>
    <t>A5</t>
  </si>
  <si>
    <t>A6</t>
  </si>
  <si>
    <t>C1</t>
  </si>
  <si>
    <t>C2</t>
  </si>
  <si>
    <t>C3</t>
  </si>
  <si>
    <t>C4</t>
  </si>
  <si>
    <t>C5</t>
  </si>
  <si>
    <t>C6</t>
  </si>
  <si>
    <t>E1</t>
  </si>
  <si>
    <t>E2</t>
  </si>
  <si>
    <t>E3</t>
  </si>
  <si>
    <t>E4</t>
  </si>
  <si>
    <t>E5</t>
  </si>
  <si>
    <t>E6</t>
  </si>
  <si>
    <t>N1</t>
  </si>
  <si>
    <t>N2</t>
  </si>
  <si>
    <t>N3</t>
  </si>
  <si>
    <t>N4</t>
  </si>
  <si>
    <t>N5</t>
  </si>
  <si>
    <t>N6</t>
  </si>
  <si>
    <t>O1</t>
  </si>
  <si>
    <t>O2</t>
  </si>
  <si>
    <t>O3</t>
  </si>
  <si>
    <t>O4</t>
  </si>
  <si>
    <t>O5</t>
  </si>
  <si>
    <t>O6</t>
  </si>
  <si>
    <t>Domains（维度）</t>
  </si>
  <si>
    <t>Domain</t>
  </si>
  <si>
    <t>A (Agreeableness)</t>
  </si>
  <si>
    <t>C (Conscientiousness)</t>
  </si>
  <si>
    <t>E (Extraversion)</t>
  </si>
  <si>
    <t>N (Neuroticism)</t>
  </si>
  <si>
    <t>O (Openness)</t>
  </si>
  <si>
    <t>Total (All 300)</t>
  </si>
  <si>
    <t>提示：以上为原始平均分（1-5）。如需转换为标准分/百分位，需要常模数据。</t>
  </si>
  <si>
    <t>English Item</t>
  </si>
  <si>
    <t>Original Chinese</t>
  </si>
  <si>
    <t>Revised Chinese</t>
  </si>
  <si>
    <t>Changed?</t>
  </si>
  <si>
    <t>我信任別人说的话。</t>
  </si>
  <si>
    <t>Y</t>
  </si>
  <si>
    <t>冲突和对抗使我无法忍受。</t>
  </si>
  <si>
    <t>我不喜欢谈论自己</t>
  </si>
  <si>
    <t>相比竞争，我更珍视合作。</t>
  </si>
  <si>
    <t>我对事物理解的很慢。</t>
  </si>
  <si>
    <t>我无法判断事情的结果。</t>
  </si>
  <si>
    <t>我并不觉得和那些邋遢混乱的人在一起不舒服。</t>
  </si>
  <si>
    <t>我会超额完成任务。</t>
  </si>
  <si>
    <t>做些能应付的事对我来说就已经足够了。</t>
  </si>
  <si>
    <t>我总是能很快的做完家务。</t>
  </si>
  <si>
    <t>在需要做决定时，我总是拖延。</t>
  </si>
  <si>
    <t>我谨慎的决定该说些什么。</t>
  </si>
  <si>
    <t>我会不经思考的做一些事情。</t>
  </si>
  <si>
    <t>我总草率的做决定。</t>
  </si>
  <si>
    <t>我会不加思考的行动。</t>
  </si>
  <si>
    <t>在人群周围，我感到舒适。</t>
  </si>
  <si>
    <t>在别人面前，我总是感到不自在。</t>
  </si>
  <si>
    <t>任何事情我都想尝试一次。</t>
  </si>
  <si>
    <t>我不容易因为突发事件而感到困扰。</t>
  </si>
  <si>
    <t>我很少变的恼火。</t>
  </si>
  <si>
    <t>我认为接近他人很困呐。</t>
  </si>
  <si>
    <t>我不会被困难的社交场合困扰到。</t>
  </si>
  <si>
    <t>就算是在不熟悉的场合，我也能感到轻松舒适。</t>
  </si>
  <si>
    <t>我很容易的就能抵御诱惑。</t>
  </si>
  <si>
    <t>克服挫折对我来说很容易。</t>
  </si>
  <si>
    <t>即使在紧张情况下，我也能保持冷静。</t>
  </si>
  <si>
    <t>想象东西对我来说很困难。</t>
  </si>
  <si>
    <t>我很少有情绪。</t>
  </si>
  <si>
    <t>我不喜欢改变的想法。</t>
  </si>
  <si>
    <t>我认为我们对罪犯太好了。</t>
  </si>
  <si>
    <t>Old Context / 旧注释（备份）</t>
  </si>
  <si>
    <t>分面：N1 焦虑（神经质 N）
作答时请结合过去6–12个月的“常态”，重点考虑：
• 社交/评价：担心出错、被否定、在众人面前表现不好
• 安全/健康：对疾病、意外、风险有较强的危机感或担忧
• 不确定性：对变化、未知、等待结果更容易紧张/坐立不安</t>
  </si>
  <si>
    <t>分面：E1 热情/亲和（外向 E）
作答时请结合过去6–12个月的“常态”，重点考虑：
• 亲近与友善：更愿意表达关心、赞美、温暖
• 建立关系：更容易与人熟络、拉近距离
• 回应性：别人示好时更愿意回应与互动</t>
  </si>
  <si>
    <t>分面：O1 幻想/想象（开放 O）
作答时请结合过去6–12个月的“常态”，重点考虑：
• 想象世界：更常白日梦、构思故事/情节/画面
• 心理模拟：遇事会在脑中预演、创造多种可能
• 沉浸体验：容易被文学/影视/游戏的情境带入</t>
  </si>
  <si>
    <t>分面：A1 信任（宜人性 A）
作答时请结合过去6–12个月的“常态”，重点考虑：
• 善意假设：更倾向相信别人动机是好的
• 低戒心：不太疑神疑鬼，较少怀疑他人欺骗
• 合作期待：更愿意给别人机会、先信后证</t>
  </si>
  <si>
    <t>分面：C1 胜任感（尽责性 C）
作答时请结合过去6–12个月的“常态”，重点考虑：
• 自我效能：相信自己能把事情处理好
• 问题解决：遇到任务会想办法而不是退缩
• 可靠程度：别人交代的事你更能完成到位</t>
  </si>
  <si>
    <t>分面：N2 愤怒/敌意（神经质 N）
作答时请结合过去6–12个月的“常态”，重点考虑：
• 易被冒犯：对不公平/不尊重更敏感，容易“火大”
• 怨怼与挑剔：更常记仇、抱怨、挑人毛病
• 对抗反应：更可能顶嘴、争辩、用讽刺/冷淡表达不满</t>
  </si>
  <si>
    <t>分面：E2 群居/合群（外向 E）
作答时请结合过去6–12个月的“常态”，重点考虑：
• 偏好人群：更喜欢与多人一起活动而非独处
• 社交能量：社交后更充电而非被耗尽
• 主动参与：更愿意加入聚会、团体与社交场景</t>
  </si>
  <si>
    <t>分面：O2 审美（开放 O）
作答时请结合过去6–12个月的“常态”，重点考虑：
• 美感敏感：更容易被音乐、绘画、设计、自然之美打动
• 主动接触：更愿意看展、听音乐、关注审美细节
• 品味追求：对风格、质感、配色等更在意</t>
  </si>
  <si>
    <t>分面：A2 坦诚（宜人性 A）
作答时请结合过去6–12个月的“常态”，重点考虑：
• 真诚直率：更少耍心机、话里有话或操控
• 公平交换：不太占便宜，愿意按规则来
• 言行一致：说到做到，不用虚假包装自己</t>
  </si>
  <si>
    <t>分面：C2 条理（尽责性 C）
作答时请结合过去6–12个月的“常态”，重点考虑：
• 整洁有序：物品、时间、信息更倾向被整理
• 偏好规划：喜欢清单、规则、步骤与结构
• 厌恶混乱：环境/流程乱会让你不舒服</t>
  </si>
  <si>
    <t>分面：N3 抑郁（神经质 N）
作答时请结合过去6–12个月的“常态”，重点考虑：
• 情绪低落：更常感到沮丧、无力、心情沉重
• 消极认知：更容易自责、悲观、觉得事情没希望
• 快感降低：对原本喜欢的事更难感到开心或投入</t>
  </si>
  <si>
    <t>分面：E3 果断/支配（外向 E）
作答时请结合过去6–12个月的“常态”，重点考虑：
• 带头与影响：更愿意主导、组织、推动进度
• 表达立场：更敢说出不同意见、为自己争取
• 社交主动：在人群中更愿意发言与掌控话题</t>
  </si>
  <si>
    <t>分面：O3 情感体验（开放 O）
作答时请结合过去6–12个月的“常态”，重点考虑：
• 情绪觉察：更能分辨细腻情绪并愿意体验
• 共情共鸣：更容易被故事/他人处境触动
• 表达深度：更愿意谈感受，而不只谈事实</t>
  </si>
  <si>
    <t>分面：A3 利他（宜人性 A）
作答时请结合过去6–12个月的“常态”，重点考虑：
• 乐于助人：看到别人需要会主动帮忙
• 慷慨分享：愿意付出时间/精力/资源
• 他人福祉：做决定时更会顾及别人感受与利益</t>
  </si>
  <si>
    <t>分面：C3 责任感/守则（尽责性 C）
作答时请结合过去6–12个月的“常态”，重点考虑：
• 遵守规范：更重视规则、承诺与道德义务
• 可靠守信：答应的事会尽量兑现
• 内在约束：不靠外部监督也会按标准做</t>
  </si>
  <si>
    <t>分面：N4 自我意识/羞怯（神经质 N）
作答时请结合过去6–12个月的“常态”，重点考虑：
• 怕丢脸：在被关注或评价时更容易尴尬/不自在
• 社交紧张：在人群/陌生场合更易手足无措
• 反刍自责：事后反复回想自己哪里说错/做错</t>
  </si>
  <si>
    <t>分面：E4 活跃（外向 E）
作答时请结合过去6–12个月的“常态”，重点考虑：
• 节奏与精力：生活节奏更快、更忙碌、精力旺
• 行动倾向：更喜欢动起来而不是久坐/拖延
• 多任务：更常同时安排多件事并保持高频活动</t>
  </si>
  <si>
    <t>分面：O4 行动开放（开放 O）
作答时请结合过去6–12个月的“常态”，重点考虑：
• 尝试新事物：更愿意换路线、换做法、换体验
• 探索多样：旅行、饮食、兴趣上更爱变化
• 抗拒惯性：不太满足于一成不变的固定模式</t>
  </si>
  <si>
    <t>分面：A4 顺从/合作（宜人性 A）
作答时请结合过去6–12个月的“常态”，重点考虑：
• 少对抗：冲突中更愿意退一步、讲和
• 不强硬：不太爱争强好胜或硬碰硬
• 愿意妥协：能接受折中方案以维持关系</t>
  </si>
  <si>
    <t>分面：C4 成就追求（尽责性 C）
作答时请结合过去6–12个月的“常态”，重点考虑：
• 目标驱动：更有野心、对成绩/成果更在意
• 努力投入：愿意付出额外努力提升表现
• 竞争心态：更倾向把事情做得更好、更快、更高标准</t>
  </si>
  <si>
    <t>分面：N5 冲动性（神经质 N）
作答时请结合过去6–12个月的“常态”，重点考虑：
• 欲望驱动：更难抵抗吃喝、购物、刷手机等即时诱惑
• 情绪性行为：情绪上来时更容易“先做再说”
• 延迟满足困难：明知不合适仍更可能纵容自己</t>
  </si>
  <si>
    <t>分面：E5 寻求刺激（外向 E）
作答时请结合过去6–12个月的“常态”，重点考虑：
• 新奇与冒险：更愿意尝试刺激、未知、带风险的体验
• 耐受单调：更难忍受一成不变，想要“来点大的”
• 兴奋阈值：需要更强烈的体验才觉得过瘾</t>
  </si>
  <si>
    <t>分面：O5 观念/思辨（开放 O）
作答时请结合过去6–12个月的“常态”，重点考虑：
• 好奇求知：喜欢学习新概念、追问“为什么”
• 复杂思考：享受抽象问题、逻辑推理、系统化思考
• 观点生成：更愿意形成自己的解释与理论</t>
  </si>
  <si>
    <t>分面：A5 谦逊（宜人性 A）
作答时请结合过去6–12个月的“常态”，重点考虑：
• 不自我吹嘘：较少炫耀成就或显摆
• 地位感低：不太把自己看得高人一等
• 受表扬反应：被夸时更倾向低调/不好意思</t>
  </si>
  <si>
    <t>分面：C5 自律（尽责性 C）
作答时请结合过去6–12个月的“常态”，重点考虑：
• 坚持完成：即使无聊/困难也能把任务做完
• 抗拖延：较少拖到最后一刻才动手
• 自我管理：能按计划持续推进而不半途而废</t>
  </si>
  <si>
    <t>分面：N6 脆弱性/易受压（神经质 N）
作答时请结合过去6–12个月的“常态”，重点考虑：
• 压力承受：在高压/突发状况下更易崩溃或慌乱
• 无助感：遇到困难更容易觉得“我应付不了”
• 依赖求援：更需要他人支持或指引才能稳住</t>
  </si>
  <si>
    <t>分面：E6 积极情绪（外向 E）
作答时请结合过去6–12个月的“常态”，重点考虑：
• 愉快与热情：更常感到开心、兴奋、充满干劲
• 乐观取向：更容易看到积极面、保持好心情
• 感染力：情绪更外显，容易把快乐带给别人</t>
  </si>
  <si>
    <t>分面：O6 价值观开放（开放 O）
作答时请结合过去6–12个月的“常态”，重点考虑：
• 包容差异：更能接受不同文化/生活方式/观念
• 质疑传统：对权威/习俗更愿意反思而非照单全收
• 原则弹性：在价值判断上更开放、少绝对化</t>
  </si>
  <si>
    <t>分面：A6 同情/温柔（宜人性 A）
作答时请结合过去6–12个月的“常态”，重点考虑：
• 同理心：容易感受他人的痛苦与需要
• 关怀取向：倾向照顾弱者、愿意体谅
• 人道主义：做判断更强调仁慈与关怀</t>
  </si>
  <si>
    <t>分面：C6 审慎（尽责性 C）
作答时请结合过去6–12个月的“常态”，重点考虑：
• 三思而后行：做决定前会权衡后果与风险
• 冲动抑制：较少因一时情绪就拍板
• 计划性：更愿意先想清楚步骤再行动</t>
  </si>
  <si>
    <t>分面：A2 坦诚（宜人性 A）
作答时请结合过去6–12个月的“常态”，重点考虑：
• 真诚直率：更少耍心机、话里有话或操控
• 公平交换：不太占便宜，愿意按规则来
• 言行一致：说到做到，不用虚假包装自己
注意：本题为反向表述（文字是相反说法），仍请按你真实倾向作答。</t>
  </si>
  <si>
    <t>分面：A4 顺从/合作（宜人性 A）
作答时请结合过去6–12个月的“常态”，重点考虑：
• 少对抗：冲突中更愿意退一步、讲和
• 不强硬：不太爱争强好胜或硬碰硬
• 愿意妥协：能接受折中方案以维持关系
注意：本题为反向表述（文字是相反说法），仍请按你真实倾向作答。</t>
  </si>
  <si>
    <t>分面：O6 价值观开放（开放 O）
作答时请结合过去6–12个月的“常态”，重点考虑：
• 包容差异：更能接受不同文化/生活方式/观念
• 质疑传统：对权威/习俗更愿意反思而非照单全收
• 原则弹性：在价值判断上更开放、少绝对化
注意：本题为反向表述（文字是相反说法），仍请按你真实倾向作答。</t>
  </si>
  <si>
    <t>分面：C6 审慎（尽责性 C）
作答时请结合过去6–12个月的“常态”，重点考虑：
• 三思而后行：做决定前会权衡后果与风险
• 冲动抑制：较少因一时情绪就拍板
• 计划性：更愿意先想清楚步骤再行动
注意：本题为反向表述（文字是相反说法），仍请按你真实倾向作答。</t>
  </si>
  <si>
    <t>分面：O4 行动开放（开放 O）
作答时请结合过去6–12个月的“常态”，重点考虑：
• 尝试新事物：更愿意换路线、换做法、换体验
• 探索多样：旅行、饮食、兴趣上更爱变化
• 抗拒惯性：不太满足于一成不变的固定模式
注意：本题为反向表述（文字是相反说法），仍请按你真实倾向作答。</t>
  </si>
  <si>
    <t>分面：A5 谦逊（宜人性 A）
作答时请结合过去6–12个月的“常态”，重点考虑：
• 不自我吹嘘：较少炫耀成就或显摆
• 地位感低：不太把自己看得高人一等
• 受表扬反应：被夸时更倾向低调/不好意思
注意：本题为反向表述（文字是相反说法），仍请按你真实倾向作答。</t>
  </si>
  <si>
    <t>分面：A6 同情/温柔（宜人性 A）
作答时请结合过去6–12个月的“常态”，重点考虑：
• 同理心：容易感受他人的痛苦与需要
• 关怀取向：倾向照顾弱者、愿意体谅
• 人道主义：做判断更强调仁慈与关怀
注意：本题为反向表述（文字是相反说法），仍请按你真实倾向作答。</t>
  </si>
  <si>
    <t>分面：N1 焦虑（神经质 N）
作答时请结合过去6–12个月的“常态”，重点考虑：
• 社交/评价：担心出错、被否定、在众人面前表现不好
• 安全/健康：对疾病、意外、风险有较强的危机感或担忧
• 不确定性：对变化、未知、等待结果更容易紧张/坐立不安
注意：本题为反向表述（文字是相反说法），仍请按你真实倾向作答。</t>
  </si>
  <si>
    <t>分面：E1 热情/亲和（外向 E）
作答时请结合过去6–12个月的“常态”，重点考虑：
• 亲近与友善：更愿意表达关心、赞美、温暖
• 建立关系：更容易与人熟络、拉近距离
• 回应性：别人示好时更愿意回应与互动
注意：本题为反向表述（文字是相反说法），仍请按你真实倾向作答。</t>
  </si>
  <si>
    <t>分面：N2 愤怒/敌意（神经质 N）
作答时请结合过去6–12个月的“常态”，重点考虑：
• 易被冒犯：对不公平/不尊重更敏感，容易“火大”
• 怨怼与挑剔：更常记仇、抱怨、挑人毛病
• 对抗反应：更可能顶嘴、争辩、用讽刺/冷淡表达不满
注意：本题为反向表述（文字是相反说法），仍请按你真实倾向作答。</t>
  </si>
  <si>
    <t>分面：E2 群居/合群（外向 E）
作答时请结合过去6–12个月的“常态”，重点考虑：
• 偏好人群：更喜欢与多人一起活动而非独处
• 社交能量：社交后更充电而非被耗尽
• 主动参与：更愿意加入聚会、团体与社交场景
注意：本题为反向表述（文字是相反说法），仍请按你真实倾向作答。</t>
  </si>
  <si>
    <t>分面：O2 审美（开放 O）
作答时请结合过去6–12个月的“常态”，重点考虑：
• 美感敏感：更容易被音乐、绘画、设计、自然之美打动
• 主动接触：更愿意看展、听音乐、关注审美细节
• 品味追求：对风格、质感、配色等更在意
注意：本题为反向表述（文字是相反说法），仍请按你真实倾向作答。</t>
  </si>
  <si>
    <t>分面：C2 条理（尽责性 C）
作答时请结合过去6–12个月的“常态”，重点考虑：
• 整洁有序：物品、时间、信息更倾向被整理
• 偏好规划：喜欢清单、规则、步骤与结构
• 厌恶混乱：环境/流程乱会让你不舒服
注意：本题为反向表述（文字是相反说法），仍请按你真实倾向作答。</t>
  </si>
  <si>
    <t>分面：E3 果断/支配（外向 E）
作答时请结合过去6–12个月的“常态”，重点考虑：
• 带头与影响：更愿意主导、组织、推动进度
• 表达立场：更敢说出不同意见、为自己争取
• 社交主动：在人群中更愿意发言与掌控话题
注意：本题为反向表述（文字是相反说法），仍请按你真实倾向作答。</t>
  </si>
  <si>
    <t>分面：O3 情感体验（开放 O）
作答时请结合过去6–12个月的“常态”，重点考虑：
• 情绪觉察：更能分辨细腻情绪并愿意体验
• 共情共鸣：更容易被故事/他人处境触动
• 表达深度：更愿意谈感受，而不只谈事实
注意：本题为反向表述（文字是相反说法），仍请按你真实倾向作答。</t>
  </si>
  <si>
    <t>分面：A3 利他（宜人性 A）
作答时请结合过去6–12个月的“常态”，重点考虑：
• 乐于助人：看到别人需要会主动帮忙
• 慷慨分享：愿意付出时间/精力/资源
• 他人福祉：做决定时更会顾及别人感受与利益
注意：本题为反向表述（文字是相反说法），仍请按你真实倾向作答。</t>
  </si>
  <si>
    <t>分面：C3 责任感/守则（尽责性 C）
作答时请结合过去6–12个月的“常态”，重点考虑：
• 遵守规范：更重视规则、承诺与道德义务
• 可靠守信：答应的事会尽量兑现
• 内在约束：不靠外部监督也会按标准做
注意：本题为反向表述（文字是相反说法），仍请按你真实倾向作答。</t>
  </si>
  <si>
    <t>分面：E4 活跃（外向 E）
作答时请结合过去6–12个月的“常态”，重点考虑：
• 节奏与精力：生活节奏更快、更忙碌、精力旺
• 行动倾向：更喜欢动起来而不是久坐/拖延
• 多任务：更常同时安排多件事并保持高频活动
注意：本题为反向表述（文字是相反说法），仍请按你真实倾向作答。</t>
  </si>
  <si>
    <t>分面：N5 冲动性（神经质 N）
作答时请结合过去6–12个月的“常态”，重点考虑：
• 欲望驱动：更难抵抗吃喝、购物、刷手机等即时诱惑
• 情绪性行为：情绪上来时更容易“先做再说”
• 延迟满足困难：明知不合适仍更可能纵容自己
注意：本题为反向表述（文字是相反说法），仍请按你真实倾向作答。</t>
  </si>
  <si>
    <t>分面：O5 观念/思辨（开放 O）
作答时请结合过去6–12个月的“常态”，重点考虑：
• 好奇求知：喜欢学习新概念、追问“为什么”
• 复杂思考：享受抽象问题、逻辑推理、系统化思考
• 观点生成：更愿意形成自己的解释与理论
注意：本题为反向表述（文字是相反说法），仍请按你真实倾向作答。</t>
  </si>
  <si>
    <t>分面：C5 自律（尽责性 C）
作答时请结合过去6–12个月的“常态”，重点考虑：
• 坚持完成：即使无聊/困难也能把任务做完
• 抗拖延：较少拖到最后一刻才动手
• 自我管理：能按计划持续推进而不半途而废
注意：本题为反向表述（文字是相反说法），仍请按你真实倾向作答。</t>
  </si>
  <si>
    <t>分面：N6 脆弱性/易受压（神经质 N）
作答时请结合过去6–12个月的“常态”，重点考虑：
• 压力承受：在高压/突发状况下更易崩溃或慌乱
• 无助感：遇到困难更容易觉得“我应付不了”
• 依赖求援：更需要他人支持或指引才能稳住
注意：本题为反向表述（文字是相反说法），仍请按你真实倾向作答。</t>
  </si>
  <si>
    <t>分面：O1 幻想/想象（开放 O）
作答时请结合过去6–12个月的“常态”，重点考虑：
• 想象世界：更常白日梦、构思故事/情节/画面
• 心理模拟：遇事会在脑中预演、创造多种可能
• 沉浸体验：容易被文学/影视/游戏的情境带入
注意：本题为反向表述（文字是相反说法），仍请按你真实倾向作答。</t>
  </si>
  <si>
    <t>分面：A1 信任（宜人性 A）
作答时请结合过去6–12个月的“常态”，重点考虑：
• 善意假设：更倾向相信别人动机是好的
• 低戒心：不太疑神疑鬼，较少怀疑他人欺骗
• 合作期待：更愿意给别人机会、先信后证
注意：本题为反向表述（文字是相反说法），仍请按你真实倾向作答。</t>
  </si>
  <si>
    <t>分面：C1 胜任感（尽责性 C）
作答时请结合过去6–12个月的“常态”，重点考虑：
• 自我效能：相信自己能把事情处理好
• 问题解决：遇到任务会想办法而不是退缩
• 可靠程度：别人交代的事你更能完成到位
注意：本题为反向表述（文字是相反说法），仍请按你真实倾向作答。</t>
  </si>
  <si>
    <t>分面：N4 自我意识/羞怯（神经质 N）
作答时请结合过去6–12个月的“常态”，重点考虑：
• 怕丢脸：在被关注或评价时更容易尴尬/不自在
• 社交紧张：在人群/陌生场合更易手足无措
• 反刍自责：事后反复回想自己哪里说错/做错
注意：本题为反向表述（文字是相反说法），仍请按你真实倾向作答。</t>
  </si>
  <si>
    <t>分面：N3 抑郁（神经质 N）
作答时请结合过去6–12个月的“常态”，重点考虑：
• 情绪低落：更常感到沮丧、无力、心情沉重
• 消极认知：更容易自责、悲观、觉得事情没希望
• 快感降低：对原本喜欢的事更难感到开心或投入
注意：本题为反向表述（文字是相反说法），仍请按你真实倾向作答。</t>
  </si>
  <si>
    <t>分面：C4 成就追求（尽责性 C）
作答时请结合过去6–12个月的“常态”，重点考虑：
• 目标驱动：更有野心、对成绩/成果更在意
• 努力投入：愿意付出额外努力提升表现
• 竞争心态：更倾向把事情做得更好、更快、更高标准
注意：本题为反向表述（文字是相反说法），仍请按你真实倾向作答。</t>
  </si>
  <si>
    <t>分面：E5 寻求刺激（外向 E）
作答时请结合过去6–12个月的“常态”，重点考虑：
• 新奇与冒险：更愿意尝试刺激、未知、带风险的体验
• 耐受单调：更难忍受一成不变，想要“来点大的”
• 兴奋阈值：需要更强烈的体验才觉得过瘾
注意：本题为反向表述（文字是相反说法），仍请按你真实倾向作答。</t>
  </si>
  <si>
    <t>分面：E6 积极情绪（外向 E）
作答时请结合过去6–12个月的“常态”，重点考虑：
• 愉快与热情：更常感到开心、兴奋、充满干劲
• 乐观取向：更容易看到积极面、保持好心情
• 感染力：情绪更外显，容易把快乐带给别人
注意：本题为反向表述（文字是相反说法），仍请按你真实倾向作答。</t>
  </si>
  <si>
    <t>[N6] 脆弱性｜神经质（Neuroticism）
定义：面对压力更易崩溃或需要支持
关注：高压情境失控；需要他人安抚；应对资源不足</t>
    <phoneticPr fontId="10" type="noConversion"/>
  </si>
  <si>
    <t>[E6] 积极情绪/乐观｜外向性（Extraversion）
定义：更常体验快乐与幽默感，情绪更明亮
关注：常笑；更乐观；更能享受当下</t>
    <phoneticPr fontId="10" type="noConversion"/>
  </si>
  <si>
    <t>[O6] 开放价值/自由主义｜开放性（Openness）
定义：更愿意质疑权威与传统，接受多元观点
关注：不盲从；支持变革；尊重差异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</si>
</sst>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indexed="8"/>
      <name val="Helvetica Neue"/>
    </font>
    <font>
      <sz val="12"/>
      <color indexed="8"/>
      <name val="PingFang SC Semibold"/>
      <charset val="134"/>
    </font>
    <font>
      <sz val="12"/>
      <color indexed="8"/>
      <name val="PingFang SC Regular"/>
      <charset val="134"/>
    </font>
    <font>
      <sz val="10"/>
      <color rgb="FF0000FF"/>
      <name val="Helvetica Neue"/>
      <family val="2"/>
    </font>
    <font>
      <sz val="10"/>
      <color rgb="FF000000"/>
      <name val="Helvetica Neue"/>
      <family val="2"/>
    </font>
    <font>
      <sz val="10"/>
      <color rgb="FF808080"/>
      <name val="Helvetica Neue"/>
      <family val="2"/>
    </font>
    <font>
      <b/>
      <sz val="14"/>
      <color rgb="FFFFFFFF"/>
      <name val="Helvetica Neue"/>
      <family val="2"/>
    </font>
    <font>
      <b/>
      <sz val="10"/>
      <color rgb="FFFFFFFF"/>
      <name val="Helvetica Neue"/>
      <family val="2"/>
    </font>
    <font>
      <b/>
      <sz val="10"/>
      <name val="Helvetica Neue"/>
      <family val="2"/>
    </font>
    <font>
      <sz val="10"/>
      <color indexed="8"/>
      <name val="Helvetica Neue"/>
      <family val="2"/>
    </font>
    <font>
      <sz val="9"/>
      <name val="FangSong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2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000000"/>
      </patternFill>
    </fill>
  </fills>
  <borders count="6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2">
    <xf numFmtId="0" fontId="0" fillId="0" borderId="0">
      <alignment vertical="top" wrapText="1"/>
    </xf>
    <xf numFmtId="0" fontId="9" fillId="0" borderId="0">
      <alignment vertical="top" wrapText="1"/>
    </xf>
  </cellStyleXfs>
  <cellXfs count="22">
    <xf numFmtId="0" fontId="0" fillId="0" borderId="0" xfId="0">
      <alignment vertical="top" wrapText="1"/>
    </xf>
    <xf numFmtId="49" fontId="1" fillId="2" borderId="1" xfId="1" applyNumberFormat="1" applyFont="1" applyFill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left" vertical="center" wrapText="1"/>
    </xf>
    <xf numFmtId="0" fontId="0" fillId="0" borderId="0" xfId="1" applyFont="1" applyAlignment="1"/>
    <xf numFmtId="0" fontId="5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1" fontId="0" fillId="0" borderId="4" xfId="1" applyNumberFormat="1" applyFont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7" fillId="6" borderId="4" xfId="1" applyFont="1" applyFill="1" applyBorder="1" applyAlignment="1">
      <alignment horizontal="center" vertical="center"/>
    </xf>
    <xf numFmtId="0" fontId="0" fillId="0" borderId="0" xfId="1" applyFont="1" applyAlignment="1">
      <alignment wrapText="1"/>
    </xf>
    <xf numFmtId="49" fontId="1" fillId="2" borderId="1" xfId="1" applyNumberFormat="1" applyFont="1" applyFill="1" applyBorder="1" applyAlignment="1">
      <alignment horizontal="center" vertical="center" wrapText="1"/>
    </xf>
    <xf numFmtId="49" fontId="2" fillId="0" borderId="3" xfId="1" applyNumberFormat="1" applyFont="1" applyBorder="1">
      <alignment vertical="top" wrapText="1"/>
    </xf>
    <xf numFmtId="0" fontId="8" fillId="0" borderId="0" xfId="1" applyFont="1" applyAlignment="1">
      <alignment horizontal="center" vertical="center" wrapText="1"/>
    </xf>
    <xf numFmtId="0" fontId="6" fillId="5" borderId="0" xfId="1" applyFont="1" applyFill="1" applyAlignment="1">
      <alignment horizontal="center" vertical="center"/>
    </xf>
    <xf numFmtId="0" fontId="0" fillId="0" borderId="0" xfId="1" applyFont="1" applyAlignment="1"/>
    <xf numFmtId="0" fontId="7" fillId="5" borderId="0" xfId="1" applyFont="1" applyFill="1" applyAlignment="1">
      <alignment horizontal="center" vertical="center"/>
    </xf>
    <xf numFmtId="0" fontId="0" fillId="0" borderId="0" xfId="0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D5D5D5"/>
      <rgbColor rgb="FFA5A5A5"/>
      <rgbColor rgb="FF3F3F3F"/>
      <rgbColor rgb="FFBDC0BF"/>
      <rgbColor rgb="FFDBDBDB"/>
      <rgbColor rgb="FF7F7F7F"/>
      <rgbColor rgb="FF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baseColWidth="10" defaultColWidth="8.83203125" defaultRowHeight="13"/>
  <cols>
    <col min="1" max="1" width="120" style="6" customWidth="1"/>
  </cols>
  <sheetData>
    <row r="1" spans="1:1" s="6" customFormat="1" ht="24" customHeight="1">
      <c r="A1" s="14" t="s">
        <v>0</v>
      </c>
    </row>
    <row r="2" spans="1:1" ht="14">
      <c r="A2" s="14" t="s">
        <v>1</v>
      </c>
    </row>
    <row r="3" spans="1:1" ht="14">
      <c r="A3" s="14" t="s">
        <v>2</v>
      </c>
    </row>
    <row r="4" spans="1:1" ht="14">
      <c r="A4" s="14" t="s">
        <v>3</v>
      </c>
    </row>
    <row r="5" spans="1:1" ht="14">
      <c r="A5" s="14" t="s">
        <v>4</v>
      </c>
    </row>
    <row r="6" spans="1:1" s="6" customFormat="1" ht="60" customHeight="1">
      <c r="A6" s="14" t="s">
        <v>5</v>
      </c>
    </row>
    <row r="7" spans="1:1">
      <c r="A7" s="14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showGridLines="0" workbookViewId="0"/>
  </sheetViews>
  <sheetFormatPr baseColWidth="10" defaultColWidth="16.33203125" defaultRowHeight="13"/>
  <cols>
    <col min="1" max="1" width="12.83203125" customWidth="1"/>
    <col min="2" max="2" width="10" customWidth="1"/>
    <col min="3" max="3" width="12.83203125" customWidth="1"/>
    <col min="4" max="4" width="51.5" customWidth="1"/>
    <col min="5" max="5" width="60" customWidth="1"/>
    <col min="6" max="7" width="16.33203125" customWidth="1"/>
  </cols>
  <sheetData>
    <row r="1" spans="1:5" s="6" customFormat="1" ht="21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s="6" customFormat="1" ht="21" customHeight="1">
      <c r="A2" s="2">
        <v>4</v>
      </c>
      <c r="B2" s="3" t="s">
        <v>11</v>
      </c>
      <c r="C2" s="3" t="s">
        <v>12</v>
      </c>
      <c r="D2" s="3" t="s">
        <v>13</v>
      </c>
      <c r="E2" s="3" t="s">
        <v>14</v>
      </c>
    </row>
    <row r="3" spans="1:5" s="6" customFormat="1" ht="21" customHeight="1">
      <c r="A3" s="4">
        <v>34</v>
      </c>
      <c r="B3" s="5" t="s">
        <v>11</v>
      </c>
      <c r="C3" s="5" t="s">
        <v>15</v>
      </c>
      <c r="D3" s="5" t="s">
        <v>16</v>
      </c>
      <c r="E3" s="5" t="s">
        <v>17</v>
      </c>
    </row>
    <row r="4" spans="1:5" s="6" customFormat="1" ht="21" customHeight="1">
      <c r="A4" s="4">
        <v>64</v>
      </c>
      <c r="B4" s="5" t="s">
        <v>11</v>
      </c>
      <c r="C4" s="5" t="s">
        <v>18</v>
      </c>
      <c r="D4" s="5" t="s">
        <v>19</v>
      </c>
      <c r="E4" s="5" t="s">
        <v>20</v>
      </c>
    </row>
    <row r="5" spans="1:5" s="6" customFormat="1" ht="21" customHeight="1">
      <c r="A5" s="4">
        <v>94</v>
      </c>
      <c r="B5" s="5" t="s">
        <v>11</v>
      </c>
      <c r="C5" s="5" t="s">
        <v>21</v>
      </c>
      <c r="D5" s="5" t="s">
        <v>22</v>
      </c>
      <c r="E5" s="5" t="s">
        <v>23</v>
      </c>
    </row>
    <row r="6" spans="1:5" s="6" customFormat="1" ht="21" customHeight="1">
      <c r="A6" s="4">
        <v>124</v>
      </c>
      <c r="B6" s="5" t="s">
        <v>11</v>
      </c>
      <c r="C6" s="5" t="s">
        <v>24</v>
      </c>
      <c r="D6" s="5" t="s">
        <v>25</v>
      </c>
      <c r="E6" s="5" t="s">
        <v>26</v>
      </c>
    </row>
    <row r="7" spans="1:5" s="6" customFormat="1" ht="21" customHeight="1">
      <c r="A7" s="4">
        <v>154</v>
      </c>
      <c r="B7" s="5" t="s">
        <v>11</v>
      </c>
      <c r="C7" s="5" t="s">
        <v>27</v>
      </c>
      <c r="D7" s="5" t="s">
        <v>28</v>
      </c>
      <c r="E7" s="5" t="s">
        <v>29</v>
      </c>
    </row>
    <row r="8" spans="1:5" s="6" customFormat="1" ht="21" customHeight="1">
      <c r="A8" s="4">
        <v>184</v>
      </c>
      <c r="B8" s="5" t="s">
        <v>30</v>
      </c>
      <c r="C8" s="5" t="s">
        <v>31</v>
      </c>
      <c r="D8" s="5" t="s">
        <v>32</v>
      </c>
      <c r="E8" s="5" t="s">
        <v>33</v>
      </c>
    </row>
    <row r="9" spans="1:5" s="6" customFormat="1" ht="21" customHeight="1">
      <c r="A9" s="4">
        <v>214</v>
      </c>
      <c r="B9" s="5" t="s">
        <v>30</v>
      </c>
      <c r="C9" s="5" t="s">
        <v>34</v>
      </c>
      <c r="D9" s="5" t="s">
        <v>35</v>
      </c>
      <c r="E9" s="5" t="s">
        <v>36</v>
      </c>
    </row>
    <row r="10" spans="1:5" s="6" customFormat="1" ht="21" customHeight="1">
      <c r="A10" s="4">
        <v>244</v>
      </c>
      <c r="B10" s="5" t="s">
        <v>30</v>
      </c>
      <c r="C10" s="5" t="s">
        <v>37</v>
      </c>
      <c r="D10" s="5" t="s">
        <v>38</v>
      </c>
      <c r="E10" s="5" t="s">
        <v>39</v>
      </c>
    </row>
    <row r="11" spans="1:5" s="6" customFormat="1" ht="21" customHeight="1">
      <c r="A11" s="4">
        <v>274</v>
      </c>
      <c r="B11" s="5" t="s">
        <v>30</v>
      </c>
      <c r="C11" s="5" t="s">
        <v>40</v>
      </c>
      <c r="D11" s="5" t="s">
        <v>41</v>
      </c>
      <c r="E11" s="5" t="s">
        <v>42</v>
      </c>
    </row>
    <row r="12" spans="1:5" s="6" customFormat="1" ht="21" customHeight="1">
      <c r="A12" s="4">
        <v>9</v>
      </c>
      <c r="B12" s="5" t="s">
        <v>11</v>
      </c>
      <c r="C12" s="5" t="s">
        <v>43</v>
      </c>
      <c r="D12" s="5" t="s">
        <v>44</v>
      </c>
      <c r="E12" s="5" t="s">
        <v>45</v>
      </c>
    </row>
    <row r="13" spans="1:5" s="6" customFormat="1" ht="21" customHeight="1">
      <c r="A13" s="4">
        <v>39</v>
      </c>
      <c r="B13" s="5" t="s">
        <v>11</v>
      </c>
      <c r="C13" s="5" t="s">
        <v>46</v>
      </c>
      <c r="D13" s="5" t="s">
        <v>47</v>
      </c>
      <c r="E13" s="5" t="s">
        <v>48</v>
      </c>
    </row>
    <row r="14" spans="1:5" s="6" customFormat="1" ht="21" customHeight="1">
      <c r="A14" s="4">
        <v>99</v>
      </c>
      <c r="B14" s="5" t="s">
        <v>30</v>
      </c>
      <c r="C14" s="5" t="s">
        <v>49</v>
      </c>
      <c r="D14" s="5" t="s">
        <v>50</v>
      </c>
      <c r="E14" s="5" t="s">
        <v>51</v>
      </c>
    </row>
    <row r="15" spans="1:5" s="6" customFormat="1" ht="21" customHeight="1">
      <c r="A15" s="4">
        <v>159</v>
      </c>
      <c r="B15" s="5" t="s">
        <v>30</v>
      </c>
      <c r="C15" s="5" t="s">
        <v>52</v>
      </c>
      <c r="D15" s="5" t="s">
        <v>53</v>
      </c>
      <c r="E15" s="5" t="s">
        <v>54</v>
      </c>
    </row>
    <row r="16" spans="1:5" s="6" customFormat="1" ht="21" customHeight="1">
      <c r="A16" s="4">
        <v>249</v>
      </c>
      <c r="B16" s="5" t="s">
        <v>30</v>
      </c>
      <c r="C16" s="5" t="s">
        <v>55</v>
      </c>
      <c r="D16" s="5" t="s">
        <v>56</v>
      </c>
      <c r="E16" s="5" t="s">
        <v>57</v>
      </c>
    </row>
    <row r="17" spans="1:5" s="6" customFormat="1" ht="21" customHeight="1">
      <c r="A17" s="4">
        <v>279</v>
      </c>
      <c r="B17" s="5" t="s">
        <v>30</v>
      </c>
      <c r="C17" s="5" t="s">
        <v>58</v>
      </c>
      <c r="D17" s="5" t="s">
        <v>59</v>
      </c>
      <c r="E17" s="5" t="s">
        <v>60</v>
      </c>
    </row>
    <row r="18" spans="1:5" s="6" customFormat="1" ht="21" customHeight="1">
      <c r="A18" s="4">
        <v>69</v>
      </c>
      <c r="B18" s="5" t="s">
        <v>30</v>
      </c>
      <c r="C18" s="5" t="s">
        <v>61</v>
      </c>
      <c r="D18" s="5" t="s">
        <v>62</v>
      </c>
      <c r="E18" s="5" t="s">
        <v>63</v>
      </c>
    </row>
    <row r="19" spans="1:5" s="6" customFormat="1" ht="21" customHeight="1">
      <c r="A19" s="4">
        <v>129</v>
      </c>
      <c r="B19" s="5" t="s">
        <v>30</v>
      </c>
      <c r="C19" s="5" t="s">
        <v>64</v>
      </c>
      <c r="D19" s="5" t="s">
        <v>65</v>
      </c>
      <c r="E19" s="5" t="s">
        <v>66</v>
      </c>
    </row>
    <row r="20" spans="1:5" s="6" customFormat="1" ht="21" customHeight="1">
      <c r="A20" s="4">
        <v>189</v>
      </c>
      <c r="B20" s="5" t="s">
        <v>30</v>
      </c>
      <c r="C20" s="5" t="s">
        <v>67</v>
      </c>
      <c r="D20" s="5" t="s">
        <v>68</v>
      </c>
      <c r="E20" s="5" t="s">
        <v>69</v>
      </c>
    </row>
    <row r="21" spans="1:5" s="6" customFormat="1" ht="21" customHeight="1">
      <c r="A21" s="4">
        <v>219</v>
      </c>
      <c r="B21" s="5" t="s">
        <v>30</v>
      </c>
      <c r="C21" s="5" t="s">
        <v>70</v>
      </c>
      <c r="D21" s="5" t="s">
        <v>71</v>
      </c>
      <c r="E21" s="5" t="s">
        <v>72</v>
      </c>
    </row>
    <row r="22" spans="1:5" s="6" customFormat="1" ht="21" customHeight="1">
      <c r="A22" s="4">
        <v>104</v>
      </c>
      <c r="B22" s="5" t="s">
        <v>11</v>
      </c>
      <c r="C22" s="5" t="s">
        <v>73</v>
      </c>
      <c r="D22" s="5" t="s">
        <v>74</v>
      </c>
      <c r="E22" s="5" t="s">
        <v>75</v>
      </c>
    </row>
    <row r="23" spans="1:5" s="6" customFormat="1" ht="21" customHeight="1">
      <c r="A23" s="4">
        <v>74</v>
      </c>
      <c r="B23" s="5" t="s">
        <v>11</v>
      </c>
      <c r="C23" s="5" t="s">
        <v>76</v>
      </c>
      <c r="D23" s="5" t="s">
        <v>77</v>
      </c>
      <c r="E23" s="5" t="s">
        <v>78</v>
      </c>
    </row>
    <row r="24" spans="1:5" s="6" customFormat="1" ht="21" customHeight="1">
      <c r="A24" s="4">
        <v>14</v>
      </c>
      <c r="B24" s="5" t="s">
        <v>11</v>
      </c>
      <c r="C24" s="5" t="s">
        <v>79</v>
      </c>
      <c r="D24" s="5" t="s">
        <v>80</v>
      </c>
      <c r="E24" s="5" t="s">
        <v>81</v>
      </c>
    </row>
    <row r="25" spans="1:5" s="6" customFormat="1" ht="21" customHeight="1">
      <c r="A25" s="4">
        <v>44</v>
      </c>
      <c r="B25" s="5" t="s">
        <v>11</v>
      </c>
      <c r="C25" s="5" t="s">
        <v>82</v>
      </c>
      <c r="D25" s="5" t="s">
        <v>83</v>
      </c>
      <c r="E25" s="5" t="s">
        <v>84</v>
      </c>
    </row>
    <row r="26" spans="1:5" s="6" customFormat="1" ht="21" customHeight="1">
      <c r="A26" s="4">
        <v>134</v>
      </c>
      <c r="B26" s="5" t="s">
        <v>11</v>
      </c>
      <c r="C26" s="5" t="s">
        <v>85</v>
      </c>
      <c r="D26" s="5" t="s">
        <v>86</v>
      </c>
      <c r="E26" s="5" t="s">
        <v>87</v>
      </c>
    </row>
    <row r="27" spans="1:5" s="6" customFormat="1" ht="21" customHeight="1">
      <c r="A27" s="4">
        <v>194</v>
      </c>
      <c r="B27" s="5" t="s">
        <v>30</v>
      </c>
      <c r="C27" s="5" t="s">
        <v>88</v>
      </c>
      <c r="D27" s="5" t="s">
        <v>89</v>
      </c>
      <c r="E27" s="5" t="s">
        <v>90</v>
      </c>
    </row>
    <row r="28" spans="1:5" s="6" customFormat="1" ht="21" customHeight="1">
      <c r="A28" s="4">
        <v>284</v>
      </c>
      <c r="B28" s="5" t="s">
        <v>30</v>
      </c>
      <c r="C28" s="5" t="s">
        <v>91</v>
      </c>
      <c r="D28" s="5" t="s">
        <v>92</v>
      </c>
      <c r="E28" s="5" t="s">
        <v>93</v>
      </c>
    </row>
    <row r="29" spans="1:5" s="6" customFormat="1" ht="21" customHeight="1">
      <c r="A29" s="4">
        <v>164</v>
      </c>
      <c r="B29" s="5" t="s">
        <v>30</v>
      </c>
      <c r="C29" s="5" t="s">
        <v>94</v>
      </c>
      <c r="D29" s="5" t="s">
        <v>95</v>
      </c>
      <c r="E29" s="5" t="s">
        <v>96</v>
      </c>
    </row>
    <row r="30" spans="1:5" s="6" customFormat="1" ht="21" customHeight="1">
      <c r="A30" s="4">
        <v>224</v>
      </c>
      <c r="B30" s="5" t="s">
        <v>30</v>
      </c>
      <c r="C30" s="5" t="s">
        <v>97</v>
      </c>
      <c r="D30" s="5" t="s">
        <v>98</v>
      </c>
      <c r="E30" s="5" t="s">
        <v>99</v>
      </c>
    </row>
    <row r="31" spans="1:5" s="6" customFormat="1" ht="21" customHeight="1">
      <c r="A31" s="4">
        <v>254</v>
      </c>
      <c r="B31" s="5" t="s">
        <v>30</v>
      </c>
      <c r="C31" s="5" t="s">
        <v>100</v>
      </c>
      <c r="D31" s="5" t="s">
        <v>101</v>
      </c>
      <c r="E31" s="5" t="s">
        <v>102</v>
      </c>
    </row>
    <row r="32" spans="1:5" s="6" customFormat="1" ht="21" customHeight="1">
      <c r="A32" s="4">
        <v>19</v>
      </c>
      <c r="B32" s="5" t="s">
        <v>11</v>
      </c>
      <c r="C32" s="5" t="s">
        <v>103</v>
      </c>
      <c r="D32" s="5" t="s">
        <v>104</v>
      </c>
      <c r="E32" s="5" t="s">
        <v>105</v>
      </c>
    </row>
    <row r="33" spans="1:5" s="6" customFormat="1" ht="21" customHeight="1">
      <c r="A33" s="4">
        <v>49</v>
      </c>
      <c r="B33" s="5" t="s">
        <v>11</v>
      </c>
      <c r="C33" s="5" t="s">
        <v>106</v>
      </c>
      <c r="D33" s="5" t="s">
        <v>107</v>
      </c>
      <c r="E33" s="5" t="s">
        <v>108</v>
      </c>
    </row>
    <row r="34" spans="1:5" s="6" customFormat="1" ht="21" customHeight="1">
      <c r="A34" s="4">
        <v>79</v>
      </c>
      <c r="B34" s="5" t="s">
        <v>11</v>
      </c>
      <c r="C34" s="5" t="s">
        <v>109</v>
      </c>
      <c r="D34" s="5" t="s">
        <v>110</v>
      </c>
      <c r="E34" s="5" t="s">
        <v>111</v>
      </c>
    </row>
    <row r="35" spans="1:5" s="6" customFormat="1" ht="21" customHeight="1">
      <c r="A35" s="4">
        <v>169</v>
      </c>
      <c r="B35" s="5" t="s">
        <v>30</v>
      </c>
      <c r="C35" s="5" t="s">
        <v>112</v>
      </c>
      <c r="D35" s="5" t="s">
        <v>113</v>
      </c>
      <c r="E35" s="5" t="s">
        <v>114</v>
      </c>
    </row>
    <row r="36" spans="1:5" s="6" customFormat="1" ht="21" customHeight="1">
      <c r="A36" s="4">
        <v>199</v>
      </c>
      <c r="B36" s="5" t="s">
        <v>30</v>
      </c>
      <c r="C36" s="5" t="s">
        <v>115</v>
      </c>
      <c r="D36" s="5" t="s">
        <v>116</v>
      </c>
      <c r="E36" s="5" t="s">
        <v>117</v>
      </c>
    </row>
    <row r="37" spans="1:5" s="6" customFormat="1" ht="21" customHeight="1">
      <c r="A37" s="4">
        <v>229</v>
      </c>
      <c r="B37" s="5" t="s">
        <v>30</v>
      </c>
      <c r="C37" s="5" t="s">
        <v>118</v>
      </c>
      <c r="D37" s="5" t="s">
        <v>119</v>
      </c>
      <c r="E37" s="5" t="s">
        <v>120</v>
      </c>
    </row>
    <row r="38" spans="1:5" s="6" customFormat="1" ht="21" customHeight="1">
      <c r="A38" s="4">
        <v>259</v>
      </c>
      <c r="B38" s="5" t="s">
        <v>30</v>
      </c>
      <c r="C38" s="5" t="s">
        <v>121</v>
      </c>
      <c r="D38" s="5" t="s">
        <v>122</v>
      </c>
      <c r="E38" s="5" t="s">
        <v>123</v>
      </c>
    </row>
    <row r="39" spans="1:5" s="6" customFormat="1" ht="21" customHeight="1">
      <c r="A39" s="4">
        <v>109</v>
      </c>
      <c r="B39" s="5" t="s">
        <v>30</v>
      </c>
      <c r="C39" s="5" t="s">
        <v>124</v>
      </c>
      <c r="D39" s="5" t="s">
        <v>125</v>
      </c>
      <c r="E39" s="5" t="s">
        <v>126</v>
      </c>
    </row>
    <row r="40" spans="1:5" s="6" customFormat="1" ht="21" customHeight="1">
      <c r="A40" s="4">
        <v>139</v>
      </c>
      <c r="B40" s="5" t="s">
        <v>30</v>
      </c>
      <c r="C40" s="5" t="s">
        <v>127</v>
      </c>
      <c r="D40" s="5" t="s">
        <v>128</v>
      </c>
      <c r="E40" s="5" t="s">
        <v>129</v>
      </c>
    </row>
    <row r="41" spans="1:5" s="6" customFormat="1" ht="21" customHeight="1">
      <c r="A41" s="4">
        <v>289</v>
      </c>
      <c r="B41" s="5" t="s">
        <v>30</v>
      </c>
      <c r="C41" s="5" t="s">
        <v>130</v>
      </c>
      <c r="D41" s="5" t="s">
        <v>131</v>
      </c>
      <c r="E41" s="5" t="s">
        <v>132</v>
      </c>
    </row>
    <row r="42" spans="1:5" s="6" customFormat="1" ht="21" customHeight="1">
      <c r="A42" s="4">
        <v>24</v>
      </c>
      <c r="B42" s="5" t="s">
        <v>11</v>
      </c>
      <c r="C42" s="5" t="s">
        <v>133</v>
      </c>
      <c r="D42" s="5" t="s">
        <v>134</v>
      </c>
      <c r="E42" s="5" t="s">
        <v>135</v>
      </c>
    </row>
    <row r="43" spans="1:5" s="6" customFormat="1" ht="21" customHeight="1">
      <c r="A43" s="4">
        <v>54</v>
      </c>
      <c r="B43" s="5" t="s">
        <v>11</v>
      </c>
      <c r="C43" s="5" t="s">
        <v>136</v>
      </c>
      <c r="D43" s="5" t="s">
        <v>137</v>
      </c>
      <c r="E43" s="5" t="s">
        <v>138</v>
      </c>
    </row>
    <row r="44" spans="1:5" s="6" customFormat="1" ht="21" customHeight="1">
      <c r="A44" s="4">
        <v>84</v>
      </c>
      <c r="B44" s="5" t="s">
        <v>11</v>
      </c>
      <c r="C44" s="5" t="s">
        <v>139</v>
      </c>
      <c r="D44" s="5" t="s">
        <v>140</v>
      </c>
      <c r="E44" s="5" t="s">
        <v>141</v>
      </c>
    </row>
    <row r="45" spans="1:5" s="6" customFormat="1" ht="21" customHeight="1">
      <c r="A45" s="4">
        <v>114</v>
      </c>
      <c r="B45" s="5" t="s">
        <v>11</v>
      </c>
      <c r="C45" s="5" t="s">
        <v>142</v>
      </c>
      <c r="D45" s="5" t="s">
        <v>143</v>
      </c>
      <c r="E45" s="5" t="s">
        <v>144</v>
      </c>
    </row>
    <row r="46" spans="1:5" s="6" customFormat="1" ht="21" customHeight="1">
      <c r="A46" s="4">
        <v>144</v>
      </c>
      <c r="B46" s="5" t="s">
        <v>30</v>
      </c>
      <c r="C46" s="5" t="s">
        <v>145</v>
      </c>
      <c r="D46" s="5" t="s">
        <v>146</v>
      </c>
      <c r="E46" s="5" t="s">
        <v>147</v>
      </c>
    </row>
    <row r="47" spans="1:5" s="6" customFormat="1" ht="21" customHeight="1">
      <c r="A47" s="4">
        <v>174</v>
      </c>
      <c r="B47" s="5" t="s">
        <v>30</v>
      </c>
      <c r="C47" s="5" t="s">
        <v>148</v>
      </c>
      <c r="D47" s="5" t="s">
        <v>149</v>
      </c>
      <c r="E47" s="5" t="s">
        <v>150</v>
      </c>
    </row>
    <row r="48" spans="1:5" s="6" customFormat="1" ht="21" customHeight="1">
      <c r="A48" s="4">
        <v>204</v>
      </c>
      <c r="B48" s="5" t="s">
        <v>30</v>
      </c>
      <c r="C48" s="5" t="s">
        <v>151</v>
      </c>
      <c r="D48" s="5" t="s">
        <v>152</v>
      </c>
      <c r="E48" s="5" t="s">
        <v>153</v>
      </c>
    </row>
    <row r="49" spans="1:5" s="6" customFormat="1" ht="21" customHeight="1">
      <c r="A49" s="4">
        <v>264</v>
      </c>
      <c r="B49" s="5" t="s">
        <v>30</v>
      </c>
      <c r="C49" s="5" t="s">
        <v>154</v>
      </c>
      <c r="D49" s="5" t="s">
        <v>155</v>
      </c>
      <c r="E49" s="5" t="s">
        <v>156</v>
      </c>
    </row>
    <row r="50" spans="1:5" s="6" customFormat="1" ht="21" customHeight="1">
      <c r="A50" s="4">
        <v>234</v>
      </c>
      <c r="B50" s="5" t="s">
        <v>30</v>
      </c>
      <c r="C50" s="5" t="s">
        <v>157</v>
      </c>
      <c r="D50" s="5" t="s">
        <v>158</v>
      </c>
      <c r="E50" s="5" t="s">
        <v>159</v>
      </c>
    </row>
    <row r="51" spans="1:5" s="6" customFormat="1" ht="21" customHeight="1">
      <c r="A51" s="4">
        <v>294</v>
      </c>
      <c r="B51" s="5" t="s">
        <v>30</v>
      </c>
      <c r="C51" s="5" t="s">
        <v>160</v>
      </c>
      <c r="D51" s="5" t="s">
        <v>161</v>
      </c>
      <c r="E51" s="5" t="s">
        <v>162</v>
      </c>
    </row>
    <row r="52" spans="1:5" s="6" customFormat="1" ht="21" customHeight="1">
      <c r="A52" s="4">
        <v>29</v>
      </c>
      <c r="B52" s="5" t="s">
        <v>11</v>
      </c>
      <c r="C52" s="5" t="s">
        <v>163</v>
      </c>
      <c r="D52" s="5" t="s">
        <v>164</v>
      </c>
      <c r="E52" s="5" t="s">
        <v>165</v>
      </c>
    </row>
    <row r="53" spans="1:5" s="6" customFormat="1" ht="21" customHeight="1">
      <c r="A53" s="4">
        <v>59</v>
      </c>
      <c r="B53" s="5" t="s">
        <v>11</v>
      </c>
      <c r="C53" s="5" t="s">
        <v>166</v>
      </c>
      <c r="D53" s="5" t="s">
        <v>167</v>
      </c>
      <c r="E53" s="5" t="s">
        <v>168</v>
      </c>
    </row>
    <row r="54" spans="1:5" s="6" customFormat="1" ht="21" customHeight="1">
      <c r="A54" s="4">
        <v>89</v>
      </c>
      <c r="B54" s="5" t="s">
        <v>11</v>
      </c>
      <c r="C54" s="5" t="s">
        <v>169</v>
      </c>
      <c r="D54" s="5" t="s">
        <v>170</v>
      </c>
      <c r="E54" s="5" t="s">
        <v>171</v>
      </c>
    </row>
    <row r="55" spans="1:5" s="6" customFormat="1" ht="21" customHeight="1">
      <c r="A55" s="4">
        <v>119</v>
      </c>
      <c r="B55" s="5" t="s">
        <v>11</v>
      </c>
      <c r="C55" s="5" t="s">
        <v>172</v>
      </c>
      <c r="D55" s="5" t="s">
        <v>173</v>
      </c>
      <c r="E55" s="5" t="s">
        <v>174</v>
      </c>
    </row>
    <row r="56" spans="1:5" s="6" customFormat="1" ht="21" customHeight="1">
      <c r="A56" s="4">
        <v>149</v>
      </c>
      <c r="B56" s="5" t="s">
        <v>30</v>
      </c>
      <c r="C56" s="5" t="s">
        <v>175</v>
      </c>
      <c r="D56" s="5" t="s">
        <v>176</v>
      </c>
      <c r="E56" s="5" t="s">
        <v>177</v>
      </c>
    </row>
    <row r="57" spans="1:5" s="6" customFormat="1" ht="21" customHeight="1">
      <c r="A57" s="4">
        <v>239</v>
      </c>
      <c r="B57" s="5" t="s">
        <v>30</v>
      </c>
      <c r="C57" s="5" t="s">
        <v>178</v>
      </c>
      <c r="D57" s="5" t="s">
        <v>179</v>
      </c>
      <c r="E57" s="5" t="s">
        <v>180</v>
      </c>
    </row>
    <row r="58" spans="1:5" s="6" customFormat="1" ht="21" customHeight="1">
      <c r="A58" s="4">
        <v>179</v>
      </c>
      <c r="B58" s="5" t="s">
        <v>30</v>
      </c>
      <c r="C58" s="5" t="s">
        <v>181</v>
      </c>
      <c r="D58" s="5" t="s">
        <v>182</v>
      </c>
      <c r="E58" s="5" t="s">
        <v>183</v>
      </c>
    </row>
    <row r="59" spans="1:5" s="6" customFormat="1" ht="21" customHeight="1">
      <c r="A59" s="4">
        <v>209</v>
      </c>
      <c r="B59" s="5" t="s">
        <v>30</v>
      </c>
      <c r="C59" s="5" t="s">
        <v>184</v>
      </c>
      <c r="D59" s="5" t="s">
        <v>185</v>
      </c>
      <c r="E59" s="5" t="s">
        <v>186</v>
      </c>
    </row>
    <row r="60" spans="1:5" s="6" customFormat="1" ht="21" customHeight="1">
      <c r="A60" s="4">
        <v>269</v>
      </c>
      <c r="B60" s="5" t="s">
        <v>30</v>
      </c>
      <c r="C60" s="5" t="s">
        <v>187</v>
      </c>
      <c r="D60" s="5" t="s">
        <v>188</v>
      </c>
      <c r="E60" s="5" t="s">
        <v>189</v>
      </c>
    </row>
    <row r="61" spans="1:5" s="6" customFormat="1" ht="21" customHeight="1">
      <c r="A61" s="4">
        <v>299</v>
      </c>
      <c r="B61" s="5" t="s">
        <v>30</v>
      </c>
      <c r="C61" s="5" t="s">
        <v>190</v>
      </c>
      <c r="D61" s="5" t="s">
        <v>191</v>
      </c>
      <c r="E61" s="5" t="s">
        <v>192</v>
      </c>
    </row>
    <row r="62" spans="1:5" s="6" customFormat="1" ht="21" customHeight="1">
      <c r="A62" s="4">
        <v>5</v>
      </c>
      <c r="B62" s="5" t="s">
        <v>11</v>
      </c>
      <c r="C62" s="5" t="s">
        <v>193</v>
      </c>
      <c r="D62" s="5" t="s">
        <v>194</v>
      </c>
      <c r="E62" s="5" t="s">
        <v>195</v>
      </c>
    </row>
    <row r="63" spans="1:5" s="6" customFormat="1" ht="21" customHeight="1">
      <c r="A63" s="4">
        <v>35</v>
      </c>
      <c r="B63" s="5" t="s">
        <v>11</v>
      </c>
      <c r="C63" s="5" t="s">
        <v>196</v>
      </c>
      <c r="D63" s="5" t="s">
        <v>197</v>
      </c>
      <c r="E63" s="5" t="s">
        <v>198</v>
      </c>
    </row>
    <row r="64" spans="1:5" s="6" customFormat="1" ht="21" customHeight="1">
      <c r="A64" s="4">
        <v>65</v>
      </c>
      <c r="B64" s="5" t="s">
        <v>11</v>
      </c>
      <c r="C64" s="5" t="s">
        <v>199</v>
      </c>
      <c r="D64" s="5" t="s">
        <v>200</v>
      </c>
      <c r="E64" s="5" t="s">
        <v>201</v>
      </c>
    </row>
    <row r="65" spans="1:5" s="6" customFormat="1" ht="21" customHeight="1">
      <c r="A65" s="4">
        <v>155</v>
      </c>
      <c r="B65" s="5" t="s">
        <v>11</v>
      </c>
      <c r="C65" s="5" t="s">
        <v>202</v>
      </c>
      <c r="D65" s="5" t="s">
        <v>203</v>
      </c>
      <c r="E65" s="5" t="s">
        <v>204</v>
      </c>
    </row>
    <row r="66" spans="1:5" s="6" customFormat="1" ht="21" customHeight="1">
      <c r="A66" s="4">
        <v>95</v>
      </c>
      <c r="B66" s="5" t="s">
        <v>11</v>
      </c>
      <c r="C66" s="5" t="s">
        <v>205</v>
      </c>
      <c r="D66" s="5" t="s">
        <v>206</v>
      </c>
      <c r="E66" s="5" t="s">
        <v>207</v>
      </c>
    </row>
    <row r="67" spans="1:5" s="6" customFormat="1" ht="21" customHeight="1">
      <c r="A67" s="4">
        <v>125</v>
      </c>
      <c r="B67" s="5" t="s">
        <v>11</v>
      </c>
      <c r="C67" s="5" t="s">
        <v>208</v>
      </c>
      <c r="D67" s="5" t="s">
        <v>209</v>
      </c>
      <c r="E67" s="5" t="s">
        <v>210</v>
      </c>
    </row>
    <row r="68" spans="1:5" s="6" customFormat="1" ht="21" customHeight="1">
      <c r="A68" s="4">
        <v>185</v>
      </c>
      <c r="B68" s="5" t="s">
        <v>30</v>
      </c>
      <c r="C68" s="5" t="s">
        <v>211</v>
      </c>
      <c r="D68" s="5" t="s">
        <v>212</v>
      </c>
      <c r="E68" s="5" t="s">
        <v>213</v>
      </c>
    </row>
    <row r="69" spans="1:5" s="6" customFormat="1" ht="21" customHeight="1">
      <c r="A69" s="4">
        <v>215</v>
      </c>
      <c r="B69" s="5" t="s">
        <v>30</v>
      </c>
      <c r="C69" s="5" t="s">
        <v>214</v>
      </c>
      <c r="D69" s="5" t="s">
        <v>215</v>
      </c>
      <c r="E69" s="5" t="s">
        <v>216</v>
      </c>
    </row>
    <row r="70" spans="1:5" s="6" customFormat="1" ht="21" customHeight="1">
      <c r="A70" s="4">
        <v>245</v>
      </c>
      <c r="B70" s="5" t="s">
        <v>30</v>
      </c>
      <c r="C70" s="5" t="s">
        <v>217</v>
      </c>
      <c r="D70" s="5" t="s">
        <v>218</v>
      </c>
      <c r="E70" s="5" t="s">
        <v>219</v>
      </c>
    </row>
    <row r="71" spans="1:5" s="6" customFormat="1" ht="21" customHeight="1">
      <c r="A71" s="4">
        <v>275</v>
      </c>
      <c r="B71" s="5" t="s">
        <v>30</v>
      </c>
      <c r="C71" s="5" t="s">
        <v>220</v>
      </c>
      <c r="D71" s="5" t="s">
        <v>221</v>
      </c>
      <c r="E71" s="5" t="s">
        <v>222</v>
      </c>
    </row>
    <row r="72" spans="1:5" s="6" customFormat="1" ht="21" customHeight="1">
      <c r="A72" s="4">
        <v>40</v>
      </c>
      <c r="B72" s="5" t="s">
        <v>11</v>
      </c>
      <c r="C72" s="5" t="s">
        <v>223</v>
      </c>
      <c r="D72" s="5" t="s">
        <v>224</v>
      </c>
      <c r="E72" s="5" t="s">
        <v>225</v>
      </c>
    </row>
    <row r="73" spans="1:5" s="6" customFormat="1" ht="21" customHeight="1">
      <c r="A73" s="4">
        <v>10</v>
      </c>
      <c r="B73" s="5" t="s">
        <v>11</v>
      </c>
      <c r="C73" s="5" t="s">
        <v>226</v>
      </c>
      <c r="D73" s="5" t="s">
        <v>227</v>
      </c>
      <c r="E73" s="5" t="s">
        <v>228</v>
      </c>
    </row>
    <row r="74" spans="1:5" s="6" customFormat="1" ht="21" customHeight="1">
      <c r="A74" s="4">
        <v>70</v>
      </c>
      <c r="B74" s="5" t="s">
        <v>11</v>
      </c>
      <c r="C74" s="5" t="s">
        <v>229</v>
      </c>
      <c r="D74" s="5" t="s">
        <v>230</v>
      </c>
      <c r="E74" s="5" t="s">
        <v>231</v>
      </c>
    </row>
    <row r="75" spans="1:5" s="6" customFormat="1" ht="21" customHeight="1">
      <c r="A75" s="4">
        <v>100</v>
      </c>
      <c r="B75" s="5" t="s">
        <v>11</v>
      </c>
      <c r="C75" s="5" t="s">
        <v>232</v>
      </c>
      <c r="D75" s="5" t="s">
        <v>233</v>
      </c>
      <c r="E75" s="5" t="s">
        <v>234</v>
      </c>
    </row>
    <row r="76" spans="1:5" s="6" customFormat="1" ht="21" customHeight="1">
      <c r="A76" s="4">
        <v>130</v>
      </c>
      <c r="B76" s="5" t="s">
        <v>11</v>
      </c>
      <c r="C76" s="5" t="s">
        <v>235</v>
      </c>
      <c r="D76" s="5" t="s">
        <v>236</v>
      </c>
      <c r="E76" s="5" t="s">
        <v>237</v>
      </c>
    </row>
    <row r="77" spans="1:5" s="6" customFormat="1" ht="21" customHeight="1">
      <c r="A77" s="4">
        <v>160</v>
      </c>
      <c r="B77" s="5" t="s">
        <v>30</v>
      </c>
      <c r="C77" s="5" t="s">
        <v>238</v>
      </c>
      <c r="D77" s="5" t="s">
        <v>239</v>
      </c>
      <c r="E77" s="5" t="s">
        <v>240</v>
      </c>
    </row>
    <row r="78" spans="1:5" s="6" customFormat="1" ht="21" customHeight="1">
      <c r="A78" s="4">
        <v>190</v>
      </c>
      <c r="B78" s="5" t="s">
        <v>30</v>
      </c>
      <c r="C78" s="5" t="s">
        <v>241</v>
      </c>
      <c r="D78" s="5" t="s">
        <v>242</v>
      </c>
      <c r="E78" s="5" t="s">
        <v>243</v>
      </c>
    </row>
    <row r="79" spans="1:5" s="6" customFormat="1" ht="21" customHeight="1">
      <c r="A79" s="4">
        <v>220</v>
      </c>
      <c r="B79" s="5" t="s">
        <v>30</v>
      </c>
      <c r="C79" s="5" t="s">
        <v>244</v>
      </c>
      <c r="D79" s="5" t="s">
        <v>245</v>
      </c>
      <c r="E79" s="5" t="s">
        <v>246</v>
      </c>
    </row>
    <row r="80" spans="1:5" s="6" customFormat="1" ht="21" customHeight="1">
      <c r="A80" s="4">
        <v>250</v>
      </c>
      <c r="B80" s="5" t="s">
        <v>30</v>
      </c>
      <c r="C80" s="5" t="s">
        <v>247</v>
      </c>
      <c r="D80" s="5" t="s">
        <v>248</v>
      </c>
      <c r="E80" s="5" t="s">
        <v>249</v>
      </c>
    </row>
    <row r="81" spans="1:5" s="6" customFormat="1" ht="21" customHeight="1">
      <c r="A81" s="4">
        <v>280</v>
      </c>
      <c r="B81" s="5" t="s">
        <v>30</v>
      </c>
      <c r="C81" s="5" t="s">
        <v>250</v>
      </c>
      <c r="D81" s="5" t="s">
        <v>251</v>
      </c>
      <c r="E81" s="5" t="s">
        <v>252</v>
      </c>
    </row>
    <row r="82" spans="1:5" s="6" customFormat="1" ht="21" customHeight="1">
      <c r="A82" s="4">
        <v>45</v>
      </c>
      <c r="B82" s="5" t="s">
        <v>11</v>
      </c>
      <c r="C82" s="5" t="s">
        <v>253</v>
      </c>
      <c r="D82" s="5" t="s">
        <v>254</v>
      </c>
      <c r="E82" s="5" t="s">
        <v>255</v>
      </c>
    </row>
    <row r="83" spans="1:5" s="6" customFormat="1" ht="21" customHeight="1">
      <c r="A83" s="4">
        <v>105</v>
      </c>
      <c r="B83" s="5" t="s">
        <v>11</v>
      </c>
      <c r="C83" s="5" t="s">
        <v>256</v>
      </c>
      <c r="D83" s="5" t="s">
        <v>257</v>
      </c>
      <c r="E83" s="5" t="s">
        <v>258</v>
      </c>
    </row>
    <row r="84" spans="1:5" s="6" customFormat="1" ht="21" customHeight="1">
      <c r="A84" s="4">
        <v>15</v>
      </c>
      <c r="B84" s="5" t="s">
        <v>11</v>
      </c>
      <c r="C84" s="5" t="s">
        <v>259</v>
      </c>
      <c r="D84" s="5" t="s">
        <v>260</v>
      </c>
      <c r="E84" s="5" t="s">
        <v>261</v>
      </c>
    </row>
    <row r="85" spans="1:5" s="6" customFormat="1" ht="21" customHeight="1">
      <c r="A85" s="4">
        <v>75</v>
      </c>
      <c r="B85" s="5" t="s">
        <v>11</v>
      </c>
      <c r="C85" s="5" t="s">
        <v>262</v>
      </c>
      <c r="D85" s="5" t="s">
        <v>263</v>
      </c>
      <c r="E85" s="5" t="s">
        <v>264</v>
      </c>
    </row>
    <row r="86" spans="1:5" s="6" customFormat="1" ht="21" customHeight="1">
      <c r="A86" s="4">
        <v>135</v>
      </c>
      <c r="B86" s="5" t="s">
        <v>11</v>
      </c>
      <c r="C86" s="5" t="s">
        <v>265</v>
      </c>
      <c r="D86" s="5" t="s">
        <v>266</v>
      </c>
      <c r="E86" s="5" t="s">
        <v>267</v>
      </c>
    </row>
    <row r="87" spans="1:5" s="6" customFormat="1" ht="21" customHeight="1">
      <c r="A87" s="4">
        <v>165</v>
      </c>
      <c r="B87" s="5" t="s">
        <v>30</v>
      </c>
      <c r="C87" s="5" t="s">
        <v>268</v>
      </c>
      <c r="D87" s="5" t="s">
        <v>269</v>
      </c>
      <c r="E87" s="5" t="s">
        <v>270</v>
      </c>
    </row>
    <row r="88" spans="1:5" s="6" customFormat="1" ht="21" customHeight="1">
      <c r="A88" s="4">
        <v>195</v>
      </c>
      <c r="B88" s="5" t="s">
        <v>30</v>
      </c>
      <c r="C88" s="5" t="s">
        <v>271</v>
      </c>
      <c r="D88" s="5" t="s">
        <v>272</v>
      </c>
      <c r="E88" s="5" t="s">
        <v>273</v>
      </c>
    </row>
    <row r="89" spans="1:5" s="6" customFormat="1" ht="21" customHeight="1">
      <c r="A89" s="4">
        <v>225</v>
      </c>
      <c r="B89" s="5" t="s">
        <v>30</v>
      </c>
      <c r="C89" s="5" t="s">
        <v>274</v>
      </c>
      <c r="D89" s="5" t="s">
        <v>275</v>
      </c>
      <c r="E89" s="5" t="s">
        <v>276</v>
      </c>
    </row>
    <row r="90" spans="1:5" s="6" customFormat="1" ht="21" customHeight="1">
      <c r="A90" s="4">
        <v>255</v>
      </c>
      <c r="B90" s="5" t="s">
        <v>30</v>
      </c>
      <c r="C90" s="5" t="s">
        <v>277</v>
      </c>
      <c r="D90" s="5" t="s">
        <v>278</v>
      </c>
      <c r="E90" s="5" t="s">
        <v>279</v>
      </c>
    </row>
    <row r="91" spans="1:5" s="6" customFormat="1" ht="21" customHeight="1">
      <c r="A91" s="4">
        <v>285</v>
      </c>
      <c r="B91" s="5" t="s">
        <v>30</v>
      </c>
      <c r="C91" s="5" t="s">
        <v>280</v>
      </c>
      <c r="D91" s="5" t="s">
        <v>281</v>
      </c>
      <c r="E91" s="5" t="s">
        <v>282</v>
      </c>
    </row>
    <row r="92" spans="1:5" s="6" customFormat="1" ht="21" customHeight="1">
      <c r="A92" s="4">
        <v>140</v>
      </c>
      <c r="B92" s="5" t="s">
        <v>11</v>
      </c>
      <c r="C92" s="5" t="s">
        <v>283</v>
      </c>
      <c r="D92" s="5" t="s">
        <v>284</v>
      </c>
      <c r="E92" s="5" t="s">
        <v>285</v>
      </c>
    </row>
    <row r="93" spans="1:5" s="6" customFormat="1" ht="21" customHeight="1">
      <c r="A93" s="4">
        <v>50</v>
      </c>
      <c r="B93" s="5" t="s">
        <v>11</v>
      </c>
      <c r="C93" s="5" t="s">
        <v>286</v>
      </c>
      <c r="D93" s="5" t="s">
        <v>287</v>
      </c>
      <c r="E93" s="5" t="s">
        <v>288</v>
      </c>
    </row>
    <row r="94" spans="1:5" s="6" customFormat="1" ht="21" customHeight="1">
      <c r="A94" s="4">
        <v>20</v>
      </c>
      <c r="B94" s="5" t="s">
        <v>11</v>
      </c>
      <c r="C94" s="5" t="s">
        <v>289</v>
      </c>
      <c r="D94" s="5" t="s">
        <v>290</v>
      </c>
      <c r="E94" s="5" t="s">
        <v>291</v>
      </c>
    </row>
    <row r="95" spans="1:5" s="6" customFormat="1" ht="21" customHeight="1">
      <c r="A95" s="4">
        <v>80</v>
      </c>
      <c r="B95" s="5" t="s">
        <v>11</v>
      </c>
      <c r="C95" s="5" t="s">
        <v>292</v>
      </c>
      <c r="D95" s="5" t="s">
        <v>293</v>
      </c>
      <c r="E95" s="5" t="s">
        <v>294</v>
      </c>
    </row>
    <row r="96" spans="1:5" s="6" customFormat="1" ht="21" customHeight="1">
      <c r="A96" s="4">
        <v>110</v>
      </c>
      <c r="B96" s="5" t="s">
        <v>11</v>
      </c>
      <c r="C96" s="5" t="s">
        <v>295</v>
      </c>
      <c r="D96" s="5" t="s">
        <v>296</v>
      </c>
      <c r="E96" s="5" t="s">
        <v>297</v>
      </c>
    </row>
    <row r="97" spans="1:5" s="6" customFormat="1" ht="21" customHeight="1">
      <c r="A97" s="4">
        <v>170</v>
      </c>
      <c r="B97" s="5" t="s">
        <v>11</v>
      </c>
      <c r="C97" s="5" t="s">
        <v>298</v>
      </c>
      <c r="D97" s="5" t="s">
        <v>299</v>
      </c>
      <c r="E97" s="5" t="s">
        <v>300</v>
      </c>
    </row>
    <row r="98" spans="1:5" s="6" customFormat="1" ht="21" customHeight="1">
      <c r="A98" s="4">
        <v>200</v>
      </c>
      <c r="B98" s="5" t="s">
        <v>11</v>
      </c>
      <c r="C98" s="5" t="s">
        <v>301</v>
      </c>
      <c r="D98" s="5" t="s">
        <v>302</v>
      </c>
      <c r="E98" s="5" t="s">
        <v>303</v>
      </c>
    </row>
    <row r="99" spans="1:5" s="6" customFormat="1" ht="21" customHeight="1">
      <c r="A99" s="4">
        <v>290</v>
      </c>
      <c r="B99" s="5" t="s">
        <v>30</v>
      </c>
      <c r="C99" s="5" t="s">
        <v>304</v>
      </c>
      <c r="D99" s="5" t="s">
        <v>305</v>
      </c>
      <c r="E99" s="5" t="s">
        <v>306</v>
      </c>
    </row>
    <row r="100" spans="1:5" s="6" customFormat="1" ht="21" customHeight="1">
      <c r="A100" s="4">
        <v>260</v>
      </c>
      <c r="B100" s="5" t="s">
        <v>30</v>
      </c>
      <c r="C100" s="5" t="s">
        <v>307</v>
      </c>
      <c r="D100" s="5" t="s">
        <v>308</v>
      </c>
      <c r="E100" s="5" t="s">
        <v>309</v>
      </c>
    </row>
    <row r="101" spans="1:5" s="6" customFormat="1" ht="21" customHeight="1">
      <c r="A101" s="4">
        <v>230</v>
      </c>
      <c r="B101" s="5" t="s">
        <v>30</v>
      </c>
      <c r="C101" s="5" t="s">
        <v>310</v>
      </c>
      <c r="D101" s="5" t="s">
        <v>311</v>
      </c>
      <c r="E101" s="5" t="s">
        <v>312</v>
      </c>
    </row>
    <row r="102" spans="1:5" s="6" customFormat="1" ht="21" customHeight="1">
      <c r="A102" s="4">
        <v>55</v>
      </c>
      <c r="B102" s="5" t="s">
        <v>11</v>
      </c>
      <c r="C102" s="5" t="s">
        <v>313</v>
      </c>
      <c r="D102" s="5" t="s">
        <v>314</v>
      </c>
      <c r="E102" s="5" t="s">
        <v>315</v>
      </c>
    </row>
    <row r="103" spans="1:5" s="6" customFormat="1" ht="21" customHeight="1">
      <c r="A103" s="4">
        <v>145</v>
      </c>
      <c r="B103" s="5" t="s">
        <v>11</v>
      </c>
      <c r="C103" s="5" t="s">
        <v>316</v>
      </c>
      <c r="D103" s="5" t="s">
        <v>317</v>
      </c>
      <c r="E103" s="5" t="s">
        <v>318</v>
      </c>
    </row>
    <row r="104" spans="1:5" s="6" customFormat="1" ht="21" customHeight="1">
      <c r="A104" s="4">
        <v>25</v>
      </c>
      <c r="B104" s="5" t="s">
        <v>11</v>
      </c>
      <c r="C104" s="5" t="s">
        <v>319</v>
      </c>
      <c r="D104" s="5" t="s">
        <v>320</v>
      </c>
      <c r="E104" s="5" t="s">
        <v>321</v>
      </c>
    </row>
    <row r="105" spans="1:5" s="6" customFormat="1" ht="21" customHeight="1">
      <c r="A105" s="4">
        <v>85</v>
      </c>
      <c r="B105" s="5" t="s">
        <v>11</v>
      </c>
      <c r="C105" s="5" t="s">
        <v>322</v>
      </c>
      <c r="D105" s="5" t="s">
        <v>323</v>
      </c>
      <c r="E105" s="5" t="s">
        <v>324</v>
      </c>
    </row>
    <row r="106" spans="1:5" s="6" customFormat="1" ht="21" customHeight="1">
      <c r="A106" s="4">
        <v>115</v>
      </c>
      <c r="B106" s="5" t="s">
        <v>11</v>
      </c>
      <c r="C106" s="5" t="s">
        <v>325</v>
      </c>
      <c r="D106" s="5" t="s">
        <v>326</v>
      </c>
      <c r="E106" s="5" t="s">
        <v>327</v>
      </c>
    </row>
    <row r="107" spans="1:5" s="6" customFormat="1" ht="21" customHeight="1">
      <c r="A107" s="4">
        <v>205</v>
      </c>
      <c r="B107" s="5" t="s">
        <v>30</v>
      </c>
      <c r="C107" s="5" t="s">
        <v>328</v>
      </c>
      <c r="D107" s="5" t="s">
        <v>329</v>
      </c>
      <c r="E107" s="5" t="s">
        <v>330</v>
      </c>
    </row>
    <row r="108" spans="1:5" s="6" customFormat="1" ht="21" customHeight="1">
      <c r="A108" s="4">
        <v>265</v>
      </c>
      <c r="B108" s="5" t="s">
        <v>30</v>
      </c>
      <c r="C108" s="5" t="s">
        <v>331</v>
      </c>
      <c r="D108" s="5" t="s">
        <v>332</v>
      </c>
      <c r="E108" s="5" t="s">
        <v>333</v>
      </c>
    </row>
    <row r="109" spans="1:5" s="6" customFormat="1" ht="21" customHeight="1">
      <c r="A109" s="4">
        <v>175</v>
      </c>
      <c r="B109" s="5" t="s">
        <v>30</v>
      </c>
      <c r="C109" s="5" t="s">
        <v>334</v>
      </c>
      <c r="D109" s="5" t="s">
        <v>335</v>
      </c>
      <c r="E109" s="5" t="s">
        <v>336</v>
      </c>
    </row>
    <row r="110" spans="1:5" s="6" customFormat="1" ht="21" customHeight="1">
      <c r="A110" s="4">
        <v>235</v>
      </c>
      <c r="B110" s="5" t="s">
        <v>30</v>
      </c>
      <c r="C110" s="5" t="s">
        <v>337</v>
      </c>
      <c r="D110" s="5" t="s">
        <v>338</v>
      </c>
      <c r="E110" s="5" t="s">
        <v>339</v>
      </c>
    </row>
    <row r="111" spans="1:5" s="6" customFormat="1" ht="21" customHeight="1">
      <c r="A111" s="4">
        <v>295</v>
      </c>
      <c r="B111" s="5" t="s">
        <v>30</v>
      </c>
      <c r="C111" s="5" t="s">
        <v>340</v>
      </c>
      <c r="D111" s="5" t="s">
        <v>341</v>
      </c>
      <c r="E111" s="5" t="s">
        <v>342</v>
      </c>
    </row>
    <row r="112" spans="1:5" s="6" customFormat="1" ht="21" customHeight="1">
      <c r="A112" s="4">
        <v>30</v>
      </c>
      <c r="B112" s="5" t="s">
        <v>11</v>
      </c>
      <c r="C112" s="5" t="s">
        <v>343</v>
      </c>
      <c r="D112" s="5" t="s">
        <v>344</v>
      </c>
      <c r="E112" s="5" t="s">
        <v>345</v>
      </c>
    </row>
    <row r="113" spans="1:5" s="6" customFormat="1" ht="21" customHeight="1">
      <c r="A113" s="4">
        <v>60</v>
      </c>
      <c r="B113" s="5" t="s">
        <v>11</v>
      </c>
      <c r="C113" s="5" t="s">
        <v>346</v>
      </c>
      <c r="D113" s="5" t="s">
        <v>347</v>
      </c>
      <c r="E113" s="5" t="s">
        <v>348</v>
      </c>
    </row>
    <row r="114" spans="1:5" s="6" customFormat="1" ht="21" customHeight="1">
      <c r="A114" s="4">
        <v>90</v>
      </c>
      <c r="B114" s="5" t="s">
        <v>11</v>
      </c>
      <c r="C114" s="5" t="s">
        <v>349</v>
      </c>
      <c r="D114" s="5" t="s">
        <v>350</v>
      </c>
      <c r="E114" s="5" t="s">
        <v>351</v>
      </c>
    </row>
    <row r="115" spans="1:5" s="6" customFormat="1" ht="21" customHeight="1">
      <c r="A115" s="4">
        <v>120</v>
      </c>
      <c r="B115" s="5" t="s">
        <v>30</v>
      </c>
      <c r="C115" s="5" t="s">
        <v>352</v>
      </c>
      <c r="D115" s="5" t="s">
        <v>353</v>
      </c>
      <c r="E115" s="5" t="s">
        <v>354</v>
      </c>
    </row>
    <row r="116" spans="1:5" s="6" customFormat="1" ht="21" customHeight="1">
      <c r="A116" s="4">
        <v>150</v>
      </c>
      <c r="B116" s="5" t="s">
        <v>30</v>
      </c>
      <c r="C116" s="5" t="s">
        <v>355</v>
      </c>
      <c r="D116" s="5" t="s">
        <v>356</v>
      </c>
      <c r="E116" s="5" t="s">
        <v>357</v>
      </c>
    </row>
    <row r="117" spans="1:5" s="6" customFormat="1" ht="21" customHeight="1">
      <c r="A117" s="4">
        <v>210</v>
      </c>
      <c r="B117" s="5" t="s">
        <v>30</v>
      </c>
      <c r="C117" s="5" t="s">
        <v>358</v>
      </c>
      <c r="D117" s="5" t="s">
        <v>359</v>
      </c>
      <c r="E117" s="5" t="s">
        <v>360</v>
      </c>
    </row>
    <row r="118" spans="1:5" s="6" customFormat="1" ht="21" customHeight="1">
      <c r="A118" s="4">
        <v>270</v>
      </c>
      <c r="B118" s="5" t="s">
        <v>30</v>
      </c>
      <c r="C118" s="5" t="s">
        <v>361</v>
      </c>
      <c r="D118" s="5" t="s">
        <v>362</v>
      </c>
      <c r="E118" s="5" t="s">
        <v>363</v>
      </c>
    </row>
    <row r="119" spans="1:5" s="6" customFormat="1" ht="21" customHeight="1">
      <c r="A119" s="4">
        <v>180</v>
      </c>
      <c r="B119" s="5" t="s">
        <v>30</v>
      </c>
      <c r="C119" s="5" t="s">
        <v>364</v>
      </c>
      <c r="D119" s="5" t="s">
        <v>365</v>
      </c>
      <c r="E119" s="5" t="s">
        <v>366</v>
      </c>
    </row>
    <row r="120" spans="1:5" s="6" customFormat="1" ht="21" customHeight="1">
      <c r="A120" s="4">
        <v>240</v>
      </c>
      <c r="B120" s="5" t="s">
        <v>30</v>
      </c>
      <c r="C120" s="5" t="s">
        <v>367</v>
      </c>
      <c r="D120" s="5" t="s">
        <v>368</v>
      </c>
      <c r="E120" s="5" t="s">
        <v>369</v>
      </c>
    </row>
    <row r="121" spans="1:5" s="6" customFormat="1" ht="21" customHeight="1">
      <c r="A121" s="4">
        <v>300</v>
      </c>
      <c r="B121" s="5" t="s">
        <v>30</v>
      </c>
      <c r="C121" s="5" t="s">
        <v>370</v>
      </c>
      <c r="D121" s="5" t="s">
        <v>371</v>
      </c>
      <c r="E121" s="5" t="s">
        <v>372</v>
      </c>
    </row>
    <row r="122" spans="1:5" s="6" customFormat="1" ht="21" customHeight="1">
      <c r="A122" s="4">
        <v>2</v>
      </c>
      <c r="B122" s="5" t="s">
        <v>11</v>
      </c>
      <c r="C122" s="5" t="s">
        <v>373</v>
      </c>
      <c r="D122" s="5" t="s">
        <v>374</v>
      </c>
      <c r="E122" s="5" t="s">
        <v>375</v>
      </c>
    </row>
    <row r="123" spans="1:5" s="6" customFormat="1" ht="21" customHeight="1">
      <c r="A123" s="4">
        <v>62</v>
      </c>
      <c r="B123" s="5" t="s">
        <v>11</v>
      </c>
      <c r="C123" s="5" t="s">
        <v>376</v>
      </c>
      <c r="D123" s="5" t="s">
        <v>377</v>
      </c>
      <c r="E123" s="5" t="s">
        <v>378</v>
      </c>
    </row>
    <row r="124" spans="1:5" s="6" customFormat="1" ht="21" customHeight="1">
      <c r="A124" s="4">
        <v>32</v>
      </c>
      <c r="B124" s="5" t="s">
        <v>11</v>
      </c>
      <c r="C124" s="5" t="s">
        <v>379</v>
      </c>
      <c r="D124" s="5" t="s">
        <v>380</v>
      </c>
      <c r="E124" s="5" t="s">
        <v>381</v>
      </c>
    </row>
    <row r="125" spans="1:5" s="6" customFormat="1" ht="21" customHeight="1">
      <c r="A125" s="4">
        <v>92</v>
      </c>
      <c r="B125" s="5" t="s">
        <v>11</v>
      </c>
      <c r="C125" s="5" t="s">
        <v>382</v>
      </c>
      <c r="D125" s="5" t="s">
        <v>383</v>
      </c>
      <c r="E125" s="5" t="s">
        <v>384</v>
      </c>
    </row>
    <row r="126" spans="1:5" s="6" customFormat="1" ht="21" customHeight="1">
      <c r="A126" s="4">
        <v>122</v>
      </c>
      <c r="B126" s="5" t="s">
        <v>11</v>
      </c>
      <c r="C126" s="5" t="s">
        <v>385</v>
      </c>
      <c r="D126" s="5" t="s">
        <v>386</v>
      </c>
      <c r="E126" s="5" t="s">
        <v>387</v>
      </c>
    </row>
    <row r="127" spans="1:5" s="6" customFormat="1" ht="21" customHeight="1">
      <c r="A127" s="4">
        <v>212</v>
      </c>
      <c r="B127" s="5" t="s">
        <v>30</v>
      </c>
      <c r="C127" s="5" t="s">
        <v>388</v>
      </c>
      <c r="D127" s="5" t="s">
        <v>389</v>
      </c>
      <c r="E127" s="5" t="s">
        <v>390</v>
      </c>
    </row>
    <row r="128" spans="1:5" s="6" customFormat="1" ht="21" customHeight="1">
      <c r="A128" s="4">
        <v>272</v>
      </c>
      <c r="B128" s="5" t="s">
        <v>30</v>
      </c>
      <c r="C128" s="5" t="s">
        <v>391</v>
      </c>
      <c r="D128" s="5" t="s">
        <v>392</v>
      </c>
      <c r="E128" s="5" t="s">
        <v>393</v>
      </c>
    </row>
    <row r="129" spans="1:5" s="6" customFormat="1" ht="21" customHeight="1">
      <c r="A129" s="4">
        <v>152</v>
      </c>
      <c r="B129" s="5" t="s">
        <v>30</v>
      </c>
      <c r="C129" s="5" t="s">
        <v>394</v>
      </c>
      <c r="D129" s="5" t="s">
        <v>395</v>
      </c>
      <c r="E129" s="5" t="s">
        <v>396</v>
      </c>
    </row>
    <row r="130" spans="1:5" s="6" customFormat="1" ht="21" customHeight="1">
      <c r="A130" s="4">
        <v>182</v>
      </c>
      <c r="B130" s="5" t="s">
        <v>30</v>
      </c>
      <c r="C130" s="5" t="s">
        <v>397</v>
      </c>
      <c r="D130" s="5" t="s">
        <v>398</v>
      </c>
      <c r="E130" s="5" t="s">
        <v>399</v>
      </c>
    </row>
    <row r="131" spans="1:5" s="6" customFormat="1" ht="21" customHeight="1">
      <c r="A131" s="4">
        <v>242</v>
      </c>
      <c r="B131" s="5" t="s">
        <v>30</v>
      </c>
      <c r="C131" s="5" t="s">
        <v>400</v>
      </c>
      <c r="D131" s="5" t="s">
        <v>401</v>
      </c>
      <c r="E131" s="5" t="s">
        <v>402</v>
      </c>
    </row>
    <row r="132" spans="1:5" s="6" customFormat="1" ht="21" customHeight="1">
      <c r="A132" s="4">
        <v>7</v>
      </c>
      <c r="B132" s="5" t="s">
        <v>11</v>
      </c>
      <c r="C132" s="5" t="s">
        <v>403</v>
      </c>
      <c r="D132" s="5" t="s">
        <v>404</v>
      </c>
      <c r="E132" s="5" t="s">
        <v>405</v>
      </c>
    </row>
    <row r="133" spans="1:5" s="6" customFormat="1" ht="21" customHeight="1">
      <c r="A133" s="4">
        <v>37</v>
      </c>
      <c r="B133" s="5" t="s">
        <v>11</v>
      </c>
      <c r="C133" s="5" t="s">
        <v>406</v>
      </c>
      <c r="D133" s="5" t="s">
        <v>407</v>
      </c>
      <c r="E133" s="5" t="s">
        <v>408</v>
      </c>
    </row>
    <row r="134" spans="1:5" s="6" customFormat="1" ht="21" customHeight="1">
      <c r="A134" s="4">
        <v>67</v>
      </c>
      <c r="B134" s="5" t="s">
        <v>11</v>
      </c>
      <c r="C134" s="5" t="s">
        <v>409</v>
      </c>
      <c r="D134" s="5" t="s">
        <v>410</v>
      </c>
      <c r="E134" s="5" t="s">
        <v>411</v>
      </c>
    </row>
    <row r="135" spans="1:5" s="6" customFormat="1" ht="21" customHeight="1">
      <c r="A135" s="4">
        <v>97</v>
      </c>
      <c r="B135" s="5" t="s">
        <v>11</v>
      </c>
      <c r="C135" s="5" t="s">
        <v>412</v>
      </c>
      <c r="D135" s="5" t="s">
        <v>413</v>
      </c>
      <c r="E135" s="5" t="s">
        <v>414</v>
      </c>
    </row>
    <row r="136" spans="1:5" s="6" customFormat="1" ht="21" customHeight="1">
      <c r="A136" s="4">
        <v>127</v>
      </c>
      <c r="B136" s="5" t="s">
        <v>11</v>
      </c>
      <c r="C136" s="5" t="s">
        <v>415</v>
      </c>
      <c r="D136" s="5" t="s">
        <v>416</v>
      </c>
      <c r="E136" s="5" t="s">
        <v>417</v>
      </c>
    </row>
    <row r="137" spans="1:5" s="6" customFormat="1" ht="21" customHeight="1">
      <c r="A137" s="4">
        <v>157</v>
      </c>
      <c r="B137" s="5" t="s">
        <v>30</v>
      </c>
      <c r="C137" s="5" t="s">
        <v>418</v>
      </c>
      <c r="D137" s="5" t="s">
        <v>419</v>
      </c>
      <c r="E137" s="5" t="s">
        <v>420</v>
      </c>
    </row>
    <row r="138" spans="1:5" s="6" customFormat="1" ht="21" customHeight="1">
      <c r="A138" s="4">
        <v>247</v>
      </c>
      <c r="B138" s="5" t="s">
        <v>30</v>
      </c>
      <c r="C138" s="5" t="s">
        <v>421</v>
      </c>
      <c r="D138" s="5" t="s">
        <v>422</v>
      </c>
      <c r="E138" s="5" t="s">
        <v>423</v>
      </c>
    </row>
    <row r="139" spans="1:5" s="6" customFormat="1" ht="21" customHeight="1">
      <c r="A139" s="4">
        <v>187</v>
      </c>
      <c r="B139" s="5" t="s">
        <v>30</v>
      </c>
      <c r="C139" s="5" t="s">
        <v>424</v>
      </c>
      <c r="D139" s="5" t="s">
        <v>425</v>
      </c>
      <c r="E139" s="5" t="s">
        <v>426</v>
      </c>
    </row>
    <row r="140" spans="1:5" s="6" customFormat="1" ht="21" customHeight="1">
      <c r="A140" s="4">
        <v>217</v>
      </c>
      <c r="B140" s="5" t="s">
        <v>30</v>
      </c>
      <c r="C140" s="5" t="s">
        <v>427</v>
      </c>
      <c r="D140" s="5" t="s">
        <v>428</v>
      </c>
      <c r="E140" s="5" t="s">
        <v>429</v>
      </c>
    </row>
    <row r="141" spans="1:5" s="6" customFormat="1" ht="21" customHeight="1">
      <c r="A141" s="4">
        <v>277</v>
      </c>
      <c r="B141" s="5" t="s">
        <v>30</v>
      </c>
      <c r="C141" s="5" t="s">
        <v>430</v>
      </c>
      <c r="D141" s="5" t="s">
        <v>431</v>
      </c>
      <c r="E141" s="5" t="s">
        <v>432</v>
      </c>
    </row>
    <row r="142" spans="1:5" s="6" customFormat="1" ht="21" customHeight="1">
      <c r="A142" s="4">
        <v>12</v>
      </c>
      <c r="B142" s="5" t="s">
        <v>11</v>
      </c>
      <c r="C142" s="5" t="s">
        <v>433</v>
      </c>
      <c r="D142" s="5" t="s">
        <v>434</v>
      </c>
      <c r="E142" s="5" t="s">
        <v>435</v>
      </c>
    </row>
    <row r="143" spans="1:5" s="6" customFormat="1" ht="21" customHeight="1">
      <c r="A143" s="4">
        <v>42</v>
      </c>
      <c r="B143" s="5" t="s">
        <v>11</v>
      </c>
      <c r="C143" s="5" t="s">
        <v>436</v>
      </c>
      <c r="D143" s="5" t="s">
        <v>437</v>
      </c>
      <c r="E143" s="5" t="s">
        <v>438</v>
      </c>
    </row>
    <row r="144" spans="1:5" s="6" customFormat="1" ht="21" customHeight="1">
      <c r="A144" s="4">
        <v>132</v>
      </c>
      <c r="B144" s="5" t="s">
        <v>11</v>
      </c>
      <c r="C144" s="5" t="s">
        <v>439</v>
      </c>
      <c r="D144" s="5" t="s">
        <v>440</v>
      </c>
      <c r="E144" s="5" t="s">
        <v>441</v>
      </c>
    </row>
    <row r="145" spans="1:5" s="6" customFormat="1" ht="21" customHeight="1">
      <c r="A145" s="4">
        <v>72</v>
      </c>
      <c r="B145" s="5" t="s">
        <v>11</v>
      </c>
      <c r="C145" s="5" t="s">
        <v>442</v>
      </c>
      <c r="D145" s="5" t="s">
        <v>443</v>
      </c>
      <c r="E145" s="5" t="s">
        <v>444</v>
      </c>
    </row>
    <row r="146" spans="1:5" s="6" customFormat="1" ht="21" customHeight="1">
      <c r="A146" s="4">
        <v>102</v>
      </c>
      <c r="B146" s="5" t="s">
        <v>11</v>
      </c>
      <c r="C146" s="5" t="s">
        <v>445</v>
      </c>
      <c r="D146" s="5" t="s">
        <v>446</v>
      </c>
      <c r="E146" s="5" t="s">
        <v>447</v>
      </c>
    </row>
    <row r="147" spans="1:5" s="6" customFormat="1" ht="21" customHeight="1">
      <c r="A147" s="4">
        <v>162</v>
      </c>
      <c r="B147" s="5" t="s">
        <v>30</v>
      </c>
      <c r="C147" s="5" t="s">
        <v>448</v>
      </c>
      <c r="D147" s="5" t="s">
        <v>449</v>
      </c>
      <c r="E147" s="5" t="s">
        <v>450</v>
      </c>
    </row>
    <row r="148" spans="1:5" s="6" customFormat="1" ht="21" customHeight="1">
      <c r="A148" s="4">
        <v>192</v>
      </c>
      <c r="B148" s="5" t="s">
        <v>30</v>
      </c>
      <c r="C148" s="5" t="s">
        <v>451</v>
      </c>
      <c r="D148" s="5" t="s">
        <v>452</v>
      </c>
      <c r="E148" s="5" t="s">
        <v>453</v>
      </c>
    </row>
    <row r="149" spans="1:5" s="6" customFormat="1" ht="21" customHeight="1">
      <c r="A149" s="4">
        <v>222</v>
      </c>
      <c r="B149" s="5" t="s">
        <v>30</v>
      </c>
      <c r="C149" s="5" t="s">
        <v>454</v>
      </c>
      <c r="D149" s="5" t="s">
        <v>455</v>
      </c>
      <c r="E149" s="5" t="s">
        <v>456</v>
      </c>
    </row>
    <row r="150" spans="1:5" s="6" customFormat="1" ht="21" customHeight="1">
      <c r="A150" s="4">
        <v>252</v>
      </c>
      <c r="B150" s="5" t="s">
        <v>30</v>
      </c>
      <c r="C150" s="5" t="s">
        <v>457</v>
      </c>
      <c r="D150" s="5" t="s">
        <v>458</v>
      </c>
      <c r="E150" s="5" t="s">
        <v>459</v>
      </c>
    </row>
    <row r="151" spans="1:5" s="6" customFormat="1" ht="21" customHeight="1">
      <c r="A151" s="4">
        <v>282</v>
      </c>
      <c r="B151" s="5" t="s">
        <v>30</v>
      </c>
      <c r="C151" s="5" t="s">
        <v>460</v>
      </c>
      <c r="D151" s="5" t="s">
        <v>461</v>
      </c>
      <c r="E151" s="5" t="s">
        <v>462</v>
      </c>
    </row>
    <row r="152" spans="1:5" s="6" customFormat="1" ht="21" customHeight="1">
      <c r="A152" s="4">
        <v>17</v>
      </c>
      <c r="B152" s="5" t="s">
        <v>11</v>
      </c>
      <c r="C152" s="5" t="s">
        <v>463</v>
      </c>
      <c r="D152" s="5" t="s">
        <v>464</v>
      </c>
      <c r="E152" s="5" t="s">
        <v>465</v>
      </c>
    </row>
    <row r="153" spans="1:5" s="6" customFormat="1" ht="21" customHeight="1">
      <c r="A153" s="4">
        <v>47</v>
      </c>
      <c r="B153" s="5" t="s">
        <v>11</v>
      </c>
      <c r="C153" s="5" t="s">
        <v>466</v>
      </c>
      <c r="D153" s="5" t="s">
        <v>467</v>
      </c>
      <c r="E153" s="5" t="s">
        <v>468</v>
      </c>
    </row>
    <row r="154" spans="1:5" s="6" customFormat="1" ht="21" customHeight="1">
      <c r="A154" s="4">
        <v>77</v>
      </c>
      <c r="B154" s="5" t="s">
        <v>11</v>
      </c>
      <c r="C154" s="5" t="s">
        <v>469</v>
      </c>
      <c r="D154" s="5" t="s">
        <v>470</v>
      </c>
      <c r="E154" s="5" t="s">
        <v>471</v>
      </c>
    </row>
    <row r="155" spans="1:5" s="6" customFormat="1" ht="21" customHeight="1">
      <c r="A155" s="4">
        <v>107</v>
      </c>
      <c r="B155" s="5" t="s">
        <v>11</v>
      </c>
      <c r="C155" s="5" t="s">
        <v>472</v>
      </c>
      <c r="D155" s="5" t="s">
        <v>473</v>
      </c>
      <c r="E155" s="5" t="s">
        <v>474</v>
      </c>
    </row>
    <row r="156" spans="1:5" s="6" customFormat="1" ht="21" customHeight="1">
      <c r="A156" s="4">
        <v>137</v>
      </c>
      <c r="B156" s="5" t="s">
        <v>11</v>
      </c>
      <c r="C156" s="5" t="s">
        <v>475</v>
      </c>
      <c r="D156" s="5" t="s">
        <v>476</v>
      </c>
      <c r="E156" s="5" t="s">
        <v>477</v>
      </c>
    </row>
    <row r="157" spans="1:5" s="6" customFormat="1" ht="21" customHeight="1">
      <c r="A157" s="4">
        <v>167</v>
      </c>
      <c r="B157" s="5" t="s">
        <v>30</v>
      </c>
      <c r="C157" s="5" t="s">
        <v>478</v>
      </c>
      <c r="D157" s="5" t="s">
        <v>479</v>
      </c>
      <c r="E157" s="5" t="s">
        <v>480</v>
      </c>
    </row>
    <row r="158" spans="1:5" s="6" customFormat="1" ht="21" customHeight="1">
      <c r="A158" s="4">
        <v>197</v>
      </c>
      <c r="B158" s="5" t="s">
        <v>30</v>
      </c>
      <c r="C158" s="5" t="s">
        <v>481</v>
      </c>
      <c r="D158" s="5" t="s">
        <v>482</v>
      </c>
      <c r="E158" s="5" t="s">
        <v>483</v>
      </c>
    </row>
    <row r="159" spans="1:5" s="6" customFormat="1" ht="21" customHeight="1">
      <c r="A159" s="4">
        <v>227</v>
      </c>
      <c r="B159" s="5" t="s">
        <v>30</v>
      </c>
      <c r="C159" s="5" t="s">
        <v>484</v>
      </c>
      <c r="D159" s="5" t="s">
        <v>485</v>
      </c>
      <c r="E159" s="5" t="s">
        <v>486</v>
      </c>
    </row>
    <row r="160" spans="1:5" s="6" customFormat="1" ht="21" customHeight="1">
      <c r="A160" s="4">
        <v>257</v>
      </c>
      <c r="B160" s="5" t="s">
        <v>30</v>
      </c>
      <c r="C160" s="5" t="s">
        <v>487</v>
      </c>
      <c r="D160" s="5" t="s">
        <v>488</v>
      </c>
      <c r="E160" s="5" t="s">
        <v>489</v>
      </c>
    </row>
    <row r="161" spans="1:5" s="6" customFormat="1" ht="21" customHeight="1">
      <c r="A161" s="4">
        <v>287</v>
      </c>
      <c r="B161" s="5" t="s">
        <v>30</v>
      </c>
      <c r="C161" s="5" t="s">
        <v>490</v>
      </c>
      <c r="D161" s="5" t="s">
        <v>491</v>
      </c>
      <c r="E161" s="5" t="s">
        <v>492</v>
      </c>
    </row>
    <row r="162" spans="1:5" s="6" customFormat="1" ht="21" customHeight="1">
      <c r="A162" s="4">
        <v>22</v>
      </c>
      <c r="B162" s="5" t="s">
        <v>11</v>
      </c>
      <c r="C162" s="5" t="s">
        <v>493</v>
      </c>
      <c r="D162" s="5" t="s">
        <v>494</v>
      </c>
      <c r="E162" s="5" t="s">
        <v>495</v>
      </c>
    </row>
    <row r="163" spans="1:5" s="6" customFormat="1" ht="21" customHeight="1">
      <c r="A163" s="4">
        <v>52</v>
      </c>
      <c r="B163" s="5" t="s">
        <v>11</v>
      </c>
      <c r="C163" s="5" t="s">
        <v>496</v>
      </c>
      <c r="D163" s="5" t="s">
        <v>497</v>
      </c>
      <c r="E163" s="5" t="s">
        <v>498</v>
      </c>
    </row>
    <row r="164" spans="1:5" s="6" customFormat="1" ht="21" customHeight="1">
      <c r="A164" s="4">
        <v>112</v>
      </c>
      <c r="B164" s="5" t="s">
        <v>11</v>
      </c>
      <c r="C164" s="5" t="s">
        <v>499</v>
      </c>
      <c r="D164" s="5" t="s">
        <v>500</v>
      </c>
      <c r="E164" s="5" t="s">
        <v>501</v>
      </c>
    </row>
    <row r="165" spans="1:5" s="6" customFormat="1" ht="21" customHeight="1">
      <c r="A165" s="4">
        <v>172</v>
      </c>
      <c r="B165" s="5" t="s">
        <v>11</v>
      </c>
      <c r="C165" s="5" t="s">
        <v>502</v>
      </c>
      <c r="D165" s="5" t="s">
        <v>503</v>
      </c>
      <c r="E165" s="5" t="s">
        <v>504</v>
      </c>
    </row>
    <row r="166" spans="1:5" s="6" customFormat="1" ht="21" customHeight="1">
      <c r="A166" s="4">
        <v>82</v>
      </c>
      <c r="B166" s="5" t="s">
        <v>11</v>
      </c>
      <c r="C166" s="5" t="s">
        <v>505</v>
      </c>
      <c r="D166" s="5" t="s">
        <v>506</v>
      </c>
      <c r="E166" s="5" t="s">
        <v>507</v>
      </c>
    </row>
    <row r="167" spans="1:5" s="6" customFormat="1" ht="21" customHeight="1">
      <c r="A167" s="4">
        <v>142</v>
      </c>
      <c r="B167" s="5" t="s">
        <v>11</v>
      </c>
      <c r="C167" s="5" t="s">
        <v>508</v>
      </c>
      <c r="D167" s="5" t="s">
        <v>509</v>
      </c>
      <c r="E167" s="5" t="s">
        <v>510</v>
      </c>
    </row>
    <row r="168" spans="1:5" s="6" customFormat="1" ht="21" customHeight="1">
      <c r="A168" s="4">
        <v>202</v>
      </c>
      <c r="B168" s="5" t="s">
        <v>11</v>
      </c>
      <c r="C168" s="5" t="s">
        <v>511</v>
      </c>
      <c r="D168" s="5" t="s">
        <v>512</v>
      </c>
      <c r="E168" s="5" t="s">
        <v>513</v>
      </c>
    </row>
    <row r="169" spans="1:5" s="6" customFormat="1" ht="21" customHeight="1">
      <c r="A169" s="4">
        <v>232</v>
      </c>
      <c r="B169" s="5" t="s">
        <v>11</v>
      </c>
      <c r="C169" s="5" t="s">
        <v>514</v>
      </c>
      <c r="D169" s="5" t="s">
        <v>515</v>
      </c>
      <c r="E169" s="5" t="s">
        <v>516</v>
      </c>
    </row>
    <row r="170" spans="1:5" s="6" customFormat="1" ht="21" customHeight="1">
      <c r="A170" s="4">
        <v>262</v>
      </c>
      <c r="B170" s="5" t="s">
        <v>30</v>
      </c>
      <c r="C170" s="5" t="s">
        <v>517</v>
      </c>
      <c r="D170" s="5" t="s">
        <v>518</v>
      </c>
      <c r="E170" s="5" t="s">
        <v>519</v>
      </c>
    </row>
    <row r="171" spans="1:5" s="6" customFormat="1" ht="21" customHeight="1">
      <c r="A171" s="4">
        <v>292</v>
      </c>
      <c r="B171" s="5" t="s">
        <v>30</v>
      </c>
      <c r="C171" s="5" t="s">
        <v>520</v>
      </c>
      <c r="D171" s="5" t="s">
        <v>521</v>
      </c>
      <c r="E171" s="5" t="s">
        <v>522</v>
      </c>
    </row>
    <row r="172" spans="1:5" s="6" customFormat="1" ht="21" customHeight="1">
      <c r="A172" s="4">
        <v>27</v>
      </c>
      <c r="B172" s="5" t="s">
        <v>11</v>
      </c>
      <c r="C172" s="5" t="s">
        <v>523</v>
      </c>
      <c r="D172" s="5" t="s">
        <v>524</v>
      </c>
      <c r="E172" s="5" t="s">
        <v>525</v>
      </c>
    </row>
    <row r="173" spans="1:5" s="6" customFormat="1" ht="21" customHeight="1">
      <c r="A173" s="4">
        <v>57</v>
      </c>
      <c r="B173" s="5" t="s">
        <v>11</v>
      </c>
      <c r="C173" s="5" t="s">
        <v>526</v>
      </c>
      <c r="D173" s="5" t="s">
        <v>527</v>
      </c>
      <c r="E173" s="5" t="s">
        <v>528</v>
      </c>
    </row>
    <row r="174" spans="1:5" s="6" customFormat="1" ht="21" customHeight="1">
      <c r="A174" s="4">
        <v>147</v>
      </c>
      <c r="B174" s="5" t="s">
        <v>11</v>
      </c>
      <c r="C174" s="5" t="s">
        <v>529</v>
      </c>
      <c r="D174" s="5" t="s">
        <v>530</v>
      </c>
      <c r="E174" s="5" t="s">
        <v>531</v>
      </c>
    </row>
    <row r="175" spans="1:5" s="6" customFormat="1" ht="21" customHeight="1">
      <c r="A175" s="4">
        <v>177</v>
      </c>
      <c r="B175" s="5" t="s">
        <v>11</v>
      </c>
      <c r="C175" s="5" t="s">
        <v>532</v>
      </c>
      <c r="D175" s="5" t="s">
        <v>533</v>
      </c>
      <c r="E175" s="5" t="s">
        <v>534</v>
      </c>
    </row>
    <row r="176" spans="1:5" s="6" customFormat="1" ht="21" customHeight="1">
      <c r="A176" s="4">
        <v>87</v>
      </c>
      <c r="B176" s="5" t="s">
        <v>11</v>
      </c>
      <c r="C176" s="5" t="s">
        <v>535</v>
      </c>
      <c r="D176" s="5" t="s">
        <v>536</v>
      </c>
      <c r="E176" s="5" t="s">
        <v>537</v>
      </c>
    </row>
    <row r="177" spans="1:5" s="6" customFormat="1" ht="21" customHeight="1">
      <c r="A177" s="4">
        <v>117</v>
      </c>
      <c r="B177" s="5" t="s">
        <v>11</v>
      </c>
      <c r="C177" s="5" t="s">
        <v>538</v>
      </c>
      <c r="D177" s="5" t="s">
        <v>539</v>
      </c>
      <c r="E177" s="5" t="s">
        <v>540</v>
      </c>
    </row>
    <row r="178" spans="1:5" s="6" customFormat="1" ht="21" customHeight="1">
      <c r="A178" s="4">
        <v>207</v>
      </c>
      <c r="B178" s="5" t="s">
        <v>11</v>
      </c>
      <c r="C178" s="5" t="s">
        <v>541</v>
      </c>
      <c r="D178" s="5" t="s">
        <v>542</v>
      </c>
      <c r="E178" s="5" t="s">
        <v>543</v>
      </c>
    </row>
    <row r="179" spans="1:5" s="6" customFormat="1" ht="21" customHeight="1">
      <c r="A179" s="4">
        <v>237</v>
      </c>
      <c r="B179" s="5" t="s">
        <v>11</v>
      </c>
      <c r="C179" s="5" t="s">
        <v>544</v>
      </c>
      <c r="D179" s="5" t="s">
        <v>545</v>
      </c>
      <c r="E179" s="5" t="s">
        <v>546</v>
      </c>
    </row>
    <row r="180" spans="1:5" s="6" customFormat="1" ht="21" customHeight="1">
      <c r="A180" s="4">
        <v>267</v>
      </c>
      <c r="B180" s="5" t="s">
        <v>30</v>
      </c>
      <c r="C180" s="5" t="s">
        <v>547</v>
      </c>
      <c r="D180" s="5" t="s">
        <v>548</v>
      </c>
      <c r="E180" s="5" t="s">
        <v>549</v>
      </c>
    </row>
    <row r="181" spans="1:5" s="6" customFormat="1" ht="21" customHeight="1">
      <c r="A181" s="4">
        <v>297</v>
      </c>
      <c r="B181" s="5" t="s">
        <v>30</v>
      </c>
      <c r="C181" s="5" t="s">
        <v>550</v>
      </c>
      <c r="D181" s="5" t="s">
        <v>551</v>
      </c>
      <c r="E181" s="5" t="s">
        <v>552</v>
      </c>
    </row>
    <row r="182" spans="1:5" s="6" customFormat="1" ht="21" customHeight="1">
      <c r="A182" s="4">
        <v>1</v>
      </c>
      <c r="B182" s="5" t="s">
        <v>11</v>
      </c>
      <c r="C182" s="5" t="s">
        <v>553</v>
      </c>
      <c r="D182" s="5" t="s">
        <v>554</v>
      </c>
      <c r="E182" s="5" t="s">
        <v>555</v>
      </c>
    </row>
    <row r="183" spans="1:5" s="6" customFormat="1" ht="21" customHeight="1">
      <c r="A183" s="4">
        <v>31</v>
      </c>
      <c r="B183" s="5" t="s">
        <v>11</v>
      </c>
      <c r="C183" s="5" t="s">
        <v>556</v>
      </c>
      <c r="D183" s="5" t="s">
        <v>557</v>
      </c>
      <c r="E183" s="5" t="s">
        <v>558</v>
      </c>
    </row>
    <row r="184" spans="1:5" s="6" customFormat="1" ht="21" customHeight="1">
      <c r="A184" s="4">
        <v>61</v>
      </c>
      <c r="B184" s="5" t="s">
        <v>11</v>
      </c>
      <c r="C184" s="5" t="s">
        <v>559</v>
      </c>
      <c r="D184" s="5" t="s">
        <v>560</v>
      </c>
      <c r="E184" s="5" t="s">
        <v>561</v>
      </c>
    </row>
    <row r="185" spans="1:5" s="6" customFormat="1" ht="21" customHeight="1">
      <c r="A185" s="4">
        <v>91</v>
      </c>
      <c r="B185" s="5" t="s">
        <v>11</v>
      </c>
      <c r="C185" s="5" t="s">
        <v>562</v>
      </c>
      <c r="D185" s="5" t="s">
        <v>563</v>
      </c>
      <c r="E185" s="5" t="s">
        <v>564</v>
      </c>
    </row>
    <row r="186" spans="1:5" s="6" customFormat="1" ht="21" customHeight="1">
      <c r="A186" s="4">
        <v>121</v>
      </c>
      <c r="B186" s="5" t="s">
        <v>11</v>
      </c>
      <c r="C186" s="5" t="s">
        <v>565</v>
      </c>
      <c r="D186" s="5" t="s">
        <v>566</v>
      </c>
      <c r="E186" s="5" t="s">
        <v>567</v>
      </c>
    </row>
    <row r="187" spans="1:5" s="6" customFormat="1" ht="21" customHeight="1">
      <c r="A187" s="4">
        <v>151</v>
      </c>
      <c r="B187" s="5" t="s">
        <v>30</v>
      </c>
      <c r="C187" s="5" t="s">
        <v>568</v>
      </c>
      <c r="D187" s="5" t="s">
        <v>569</v>
      </c>
      <c r="E187" s="5" t="s">
        <v>570</v>
      </c>
    </row>
    <row r="188" spans="1:5" s="6" customFormat="1" ht="21" customHeight="1">
      <c r="A188" s="4">
        <v>181</v>
      </c>
      <c r="B188" s="5" t="s">
        <v>30</v>
      </c>
      <c r="C188" s="5" t="s">
        <v>571</v>
      </c>
      <c r="D188" s="5" t="s">
        <v>572</v>
      </c>
      <c r="E188" s="5" t="s">
        <v>573</v>
      </c>
    </row>
    <row r="189" spans="1:5" s="6" customFormat="1" ht="21" customHeight="1">
      <c r="A189" s="4">
        <v>211</v>
      </c>
      <c r="B189" s="5" t="s">
        <v>30</v>
      </c>
      <c r="C189" s="5" t="s">
        <v>574</v>
      </c>
      <c r="D189" s="5" t="s">
        <v>575</v>
      </c>
      <c r="E189" s="5" t="s">
        <v>576</v>
      </c>
    </row>
    <row r="190" spans="1:5" s="6" customFormat="1" ht="21" customHeight="1">
      <c r="A190" s="4">
        <v>241</v>
      </c>
      <c r="B190" s="5" t="s">
        <v>30</v>
      </c>
      <c r="C190" s="5" t="s">
        <v>577</v>
      </c>
      <c r="D190" s="5" t="s">
        <v>578</v>
      </c>
      <c r="E190" s="5" t="s">
        <v>579</v>
      </c>
    </row>
    <row r="191" spans="1:5" s="6" customFormat="1" ht="21" customHeight="1">
      <c r="A191" s="4">
        <v>271</v>
      </c>
      <c r="B191" s="5" t="s">
        <v>30</v>
      </c>
      <c r="C191" s="5" t="s">
        <v>580</v>
      </c>
      <c r="D191" s="5" t="s">
        <v>581</v>
      </c>
      <c r="E191" s="5" t="s">
        <v>582</v>
      </c>
    </row>
    <row r="192" spans="1:5" s="6" customFormat="1" ht="21" customHeight="1">
      <c r="A192" s="4">
        <v>6</v>
      </c>
      <c r="B192" s="5" t="s">
        <v>11</v>
      </c>
      <c r="C192" s="5" t="s">
        <v>583</v>
      </c>
      <c r="D192" s="5" t="s">
        <v>584</v>
      </c>
      <c r="E192" s="5" t="s">
        <v>585</v>
      </c>
    </row>
    <row r="193" spans="1:5" s="6" customFormat="1" ht="21" customHeight="1">
      <c r="A193" s="4">
        <v>36</v>
      </c>
      <c r="B193" s="5" t="s">
        <v>11</v>
      </c>
      <c r="C193" s="5" t="s">
        <v>586</v>
      </c>
      <c r="D193" s="5" t="s">
        <v>587</v>
      </c>
      <c r="E193" s="5" t="s">
        <v>588</v>
      </c>
    </row>
    <row r="194" spans="1:5" s="6" customFormat="1" ht="21" customHeight="1">
      <c r="A194" s="4">
        <v>126</v>
      </c>
      <c r="B194" s="5" t="s">
        <v>11</v>
      </c>
      <c r="C194" s="5" t="s">
        <v>589</v>
      </c>
      <c r="D194" s="5" t="s">
        <v>590</v>
      </c>
      <c r="E194" s="5" t="s">
        <v>591</v>
      </c>
    </row>
    <row r="195" spans="1:5" s="6" customFormat="1" ht="21" customHeight="1">
      <c r="A195" s="4">
        <v>66</v>
      </c>
      <c r="B195" s="5" t="s">
        <v>11</v>
      </c>
      <c r="C195" s="5" t="s">
        <v>592</v>
      </c>
      <c r="D195" s="5" t="s">
        <v>593</v>
      </c>
      <c r="E195" s="5" t="s">
        <v>594</v>
      </c>
    </row>
    <row r="196" spans="1:5" s="6" customFormat="1" ht="21" customHeight="1">
      <c r="A196" s="4">
        <v>96</v>
      </c>
      <c r="B196" s="5" t="s">
        <v>11</v>
      </c>
      <c r="C196" s="5" t="s">
        <v>595</v>
      </c>
      <c r="D196" s="5" t="s">
        <v>596</v>
      </c>
      <c r="E196" s="5" t="s">
        <v>597</v>
      </c>
    </row>
    <row r="197" spans="1:5" s="6" customFormat="1" ht="21" customHeight="1">
      <c r="A197" s="4">
        <v>216</v>
      </c>
      <c r="B197" s="5" t="s">
        <v>30</v>
      </c>
      <c r="C197" s="5" t="s">
        <v>598</v>
      </c>
      <c r="D197" s="5" t="s">
        <v>599</v>
      </c>
      <c r="E197" s="5" t="s">
        <v>600</v>
      </c>
    </row>
    <row r="198" spans="1:5" s="6" customFormat="1" ht="21" customHeight="1">
      <c r="A198" s="4">
        <v>156</v>
      </c>
      <c r="B198" s="5" t="s">
        <v>30</v>
      </c>
      <c r="C198" s="5" t="s">
        <v>601</v>
      </c>
      <c r="D198" s="5" t="s">
        <v>602</v>
      </c>
      <c r="E198" s="5" t="s">
        <v>603</v>
      </c>
    </row>
    <row r="199" spans="1:5" s="6" customFormat="1" ht="21" customHeight="1">
      <c r="A199" s="4">
        <v>186</v>
      </c>
      <c r="B199" s="5" t="s">
        <v>30</v>
      </c>
      <c r="C199" s="5" t="s">
        <v>604</v>
      </c>
      <c r="D199" s="5" t="s">
        <v>605</v>
      </c>
      <c r="E199" s="5" t="s">
        <v>606</v>
      </c>
    </row>
    <row r="200" spans="1:5" s="6" customFormat="1" ht="21" customHeight="1">
      <c r="A200" s="4">
        <v>246</v>
      </c>
      <c r="B200" s="5" t="s">
        <v>30</v>
      </c>
      <c r="C200" s="5" t="s">
        <v>607</v>
      </c>
      <c r="D200" s="5" t="s">
        <v>608</v>
      </c>
      <c r="E200" s="5" t="s">
        <v>609</v>
      </c>
    </row>
    <row r="201" spans="1:5" s="6" customFormat="1" ht="21" customHeight="1">
      <c r="A201" s="4">
        <v>276</v>
      </c>
      <c r="B201" s="5" t="s">
        <v>30</v>
      </c>
      <c r="C201" s="5" t="s">
        <v>610</v>
      </c>
      <c r="D201" s="5" t="s">
        <v>611</v>
      </c>
      <c r="E201" s="5" t="s">
        <v>612</v>
      </c>
    </row>
    <row r="202" spans="1:5" s="6" customFormat="1" ht="21" customHeight="1">
      <c r="A202" s="4">
        <v>11</v>
      </c>
      <c r="B202" s="5" t="s">
        <v>11</v>
      </c>
      <c r="C202" s="5" t="s">
        <v>613</v>
      </c>
      <c r="D202" s="5" t="s">
        <v>614</v>
      </c>
      <c r="E202" s="5" t="s">
        <v>615</v>
      </c>
    </row>
    <row r="203" spans="1:5" s="6" customFormat="1" ht="21" customHeight="1">
      <c r="A203" s="4">
        <v>41</v>
      </c>
      <c r="B203" s="5" t="s">
        <v>11</v>
      </c>
      <c r="C203" s="5" t="s">
        <v>616</v>
      </c>
      <c r="D203" s="5" t="s">
        <v>617</v>
      </c>
      <c r="E203" s="5" t="s">
        <v>618</v>
      </c>
    </row>
    <row r="204" spans="1:5" s="6" customFormat="1" ht="21" customHeight="1">
      <c r="A204" s="4">
        <v>71</v>
      </c>
      <c r="B204" s="5" t="s">
        <v>11</v>
      </c>
      <c r="C204" s="5" t="s">
        <v>619</v>
      </c>
      <c r="D204" s="5" t="s">
        <v>620</v>
      </c>
      <c r="E204" s="5" t="s">
        <v>621</v>
      </c>
    </row>
    <row r="205" spans="1:5" s="6" customFormat="1" ht="21" customHeight="1">
      <c r="A205" s="4">
        <v>101</v>
      </c>
      <c r="B205" s="5" t="s">
        <v>11</v>
      </c>
      <c r="C205" s="5" t="s">
        <v>622</v>
      </c>
      <c r="D205" s="5" t="s">
        <v>623</v>
      </c>
      <c r="E205" s="5" t="s">
        <v>624</v>
      </c>
    </row>
    <row r="206" spans="1:5" s="6" customFormat="1" ht="21" customHeight="1">
      <c r="A206" s="4">
        <v>131</v>
      </c>
      <c r="B206" s="5" t="s">
        <v>11</v>
      </c>
      <c r="C206" s="5" t="s">
        <v>625</v>
      </c>
      <c r="D206" s="5" t="s">
        <v>626</v>
      </c>
      <c r="E206" s="5" t="s">
        <v>627</v>
      </c>
    </row>
    <row r="207" spans="1:5" s="6" customFormat="1" ht="21" customHeight="1">
      <c r="A207" s="4">
        <v>161</v>
      </c>
      <c r="B207" s="5" t="s">
        <v>11</v>
      </c>
      <c r="C207" s="5" t="s">
        <v>628</v>
      </c>
      <c r="D207" s="5" t="s">
        <v>629</v>
      </c>
      <c r="E207" s="5" t="s">
        <v>630</v>
      </c>
    </row>
    <row r="208" spans="1:5" s="6" customFormat="1" ht="21" customHeight="1">
      <c r="A208" s="4">
        <v>191</v>
      </c>
      <c r="B208" s="5" t="s">
        <v>11</v>
      </c>
      <c r="C208" s="5" t="s">
        <v>631</v>
      </c>
      <c r="D208" s="5" t="s">
        <v>632</v>
      </c>
      <c r="E208" s="5" t="s">
        <v>633</v>
      </c>
    </row>
    <row r="209" spans="1:5" s="6" customFormat="1" ht="21" customHeight="1">
      <c r="A209" s="4">
        <v>251</v>
      </c>
      <c r="B209" s="5" t="s">
        <v>30</v>
      </c>
      <c r="C209" s="5" t="s">
        <v>634</v>
      </c>
      <c r="D209" s="5" t="s">
        <v>635</v>
      </c>
      <c r="E209" s="5" t="s">
        <v>636</v>
      </c>
    </row>
    <row r="210" spans="1:5" s="6" customFormat="1" ht="21" customHeight="1">
      <c r="A210" s="4">
        <v>221</v>
      </c>
      <c r="B210" s="5" t="s">
        <v>30</v>
      </c>
      <c r="C210" s="5" t="s">
        <v>637</v>
      </c>
      <c r="D210" s="5" t="s">
        <v>638</v>
      </c>
      <c r="E210" s="5" t="s">
        <v>639</v>
      </c>
    </row>
    <row r="211" spans="1:5" s="6" customFormat="1" ht="21" customHeight="1">
      <c r="A211" s="4">
        <v>281</v>
      </c>
      <c r="B211" s="5" t="s">
        <v>30</v>
      </c>
      <c r="C211" s="5" t="s">
        <v>640</v>
      </c>
      <c r="D211" s="5" t="s">
        <v>641</v>
      </c>
      <c r="E211" s="5" t="s">
        <v>642</v>
      </c>
    </row>
    <row r="212" spans="1:5" s="6" customFormat="1" ht="21" customHeight="1">
      <c r="A212" s="4">
        <v>76</v>
      </c>
      <c r="B212" s="5" t="s">
        <v>11</v>
      </c>
      <c r="C212" s="5" t="s">
        <v>643</v>
      </c>
      <c r="D212" s="5" t="s">
        <v>644</v>
      </c>
      <c r="E212" s="5" t="s">
        <v>645</v>
      </c>
    </row>
    <row r="213" spans="1:5" s="6" customFormat="1" ht="21" customHeight="1">
      <c r="A213" s="4">
        <v>106</v>
      </c>
      <c r="B213" s="5" t="s">
        <v>11</v>
      </c>
      <c r="C213" s="5" t="s">
        <v>646</v>
      </c>
      <c r="D213" s="5" t="s">
        <v>647</v>
      </c>
      <c r="E213" s="5" t="s">
        <v>648</v>
      </c>
    </row>
    <row r="214" spans="1:5" s="6" customFormat="1" ht="21" customHeight="1">
      <c r="A214" s="4">
        <v>136</v>
      </c>
      <c r="B214" s="5" t="s">
        <v>11</v>
      </c>
      <c r="C214" s="5" t="s">
        <v>649</v>
      </c>
      <c r="D214" s="5" t="s">
        <v>650</v>
      </c>
      <c r="E214" s="5" t="s">
        <v>651</v>
      </c>
    </row>
    <row r="215" spans="1:5" s="6" customFormat="1" ht="21" customHeight="1">
      <c r="A215" s="4">
        <v>16</v>
      </c>
      <c r="B215" s="5" t="s">
        <v>11</v>
      </c>
      <c r="C215" s="5" t="s">
        <v>652</v>
      </c>
      <c r="D215" s="5" t="s">
        <v>653</v>
      </c>
      <c r="E215" s="5" t="s">
        <v>654</v>
      </c>
    </row>
    <row r="216" spans="1:5" s="6" customFormat="1" ht="21" customHeight="1">
      <c r="A216" s="4">
        <v>46</v>
      </c>
      <c r="B216" s="5" t="s">
        <v>11</v>
      </c>
      <c r="C216" s="5" t="s">
        <v>655</v>
      </c>
      <c r="D216" s="5" t="s">
        <v>656</v>
      </c>
      <c r="E216" s="5" t="s">
        <v>657</v>
      </c>
    </row>
    <row r="217" spans="1:5" s="6" customFormat="1" ht="21" customHeight="1">
      <c r="A217" s="4">
        <v>166</v>
      </c>
      <c r="B217" s="5" t="s">
        <v>11</v>
      </c>
      <c r="C217" s="5" t="s">
        <v>658</v>
      </c>
      <c r="D217" s="5" t="s">
        <v>659</v>
      </c>
      <c r="E217" s="5" t="s">
        <v>660</v>
      </c>
    </row>
    <row r="218" spans="1:5" s="6" customFormat="1" ht="21" customHeight="1">
      <c r="A218" s="4">
        <v>256</v>
      </c>
      <c r="B218" s="5" t="s">
        <v>30</v>
      </c>
      <c r="C218" s="5" t="s">
        <v>661</v>
      </c>
      <c r="D218" s="5" t="s">
        <v>662</v>
      </c>
      <c r="E218" s="5" t="s">
        <v>663</v>
      </c>
    </row>
    <row r="219" spans="1:5" s="6" customFormat="1" ht="21" customHeight="1">
      <c r="A219" s="4">
        <v>196</v>
      </c>
      <c r="B219" s="5" t="s">
        <v>30</v>
      </c>
      <c r="C219" s="5" t="s">
        <v>664</v>
      </c>
      <c r="D219" s="5" t="s">
        <v>665</v>
      </c>
      <c r="E219" s="5" t="s">
        <v>666</v>
      </c>
    </row>
    <row r="220" spans="1:5" s="6" customFormat="1" ht="21" customHeight="1">
      <c r="A220" s="4">
        <v>226</v>
      </c>
      <c r="B220" s="5" t="s">
        <v>30</v>
      </c>
      <c r="C220" s="5" t="s">
        <v>667</v>
      </c>
      <c r="D220" s="5" t="s">
        <v>668</v>
      </c>
      <c r="E220" s="5" t="s">
        <v>669</v>
      </c>
    </row>
    <row r="221" spans="1:5" s="6" customFormat="1" ht="21" customHeight="1">
      <c r="A221" s="4">
        <v>286</v>
      </c>
      <c r="B221" s="5" t="s">
        <v>30</v>
      </c>
      <c r="C221" s="5" t="s">
        <v>670</v>
      </c>
      <c r="D221" s="5" t="s">
        <v>671</v>
      </c>
      <c r="E221" s="5" t="s">
        <v>672</v>
      </c>
    </row>
    <row r="222" spans="1:5" s="6" customFormat="1" ht="21" customHeight="1">
      <c r="A222" s="4">
        <v>111</v>
      </c>
      <c r="B222" s="5" t="s">
        <v>11</v>
      </c>
      <c r="C222" s="5" t="s">
        <v>673</v>
      </c>
      <c r="D222" s="5" t="s">
        <v>674</v>
      </c>
      <c r="E222" s="5" t="s">
        <v>675</v>
      </c>
    </row>
    <row r="223" spans="1:5" s="6" customFormat="1" ht="21" customHeight="1">
      <c r="A223" s="4">
        <v>21</v>
      </c>
      <c r="B223" s="5" t="s">
        <v>11</v>
      </c>
      <c r="C223" s="5" t="s">
        <v>676</v>
      </c>
      <c r="D223" s="5" t="s">
        <v>677</v>
      </c>
      <c r="E223" s="5" t="s">
        <v>678</v>
      </c>
    </row>
    <row r="224" spans="1:5" s="6" customFormat="1" ht="21" customHeight="1">
      <c r="A224" s="4">
        <v>51</v>
      </c>
      <c r="B224" s="5" t="s">
        <v>11</v>
      </c>
      <c r="C224" s="5" t="s">
        <v>679</v>
      </c>
      <c r="D224" s="5" t="s">
        <v>680</v>
      </c>
      <c r="E224" s="5" t="s">
        <v>681</v>
      </c>
    </row>
    <row r="225" spans="1:5" s="6" customFormat="1" ht="21" customHeight="1">
      <c r="A225" s="4">
        <v>81</v>
      </c>
      <c r="B225" s="5" t="s">
        <v>11</v>
      </c>
      <c r="C225" s="5" t="s">
        <v>682</v>
      </c>
      <c r="D225" s="5" t="s">
        <v>683</v>
      </c>
      <c r="E225" s="5" t="s">
        <v>684</v>
      </c>
    </row>
    <row r="226" spans="1:5" s="6" customFormat="1" ht="21" customHeight="1">
      <c r="A226" s="4">
        <v>141</v>
      </c>
      <c r="B226" s="5" t="s">
        <v>11</v>
      </c>
      <c r="C226" s="5" t="s">
        <v>685</v>
      </c>
      <c r="D226" s="5" t="s">
        <v>686</v>
      </c>
      <c r="E226" s="5" t="s">
        <v>687</v>
      </c>
    </row>
    <row r="227" spans="1:5" s="6" customFormat="1" ht="21" customHeight="1">
      <c r="A227" s="4">
        <v>171</v>
      </c>
      <c r="B227" s="5" t="s">
        <v>30</v>
      </c>
      <c r="C227" s="5" t="s">
        <v>688</v>
      </c>
      <c r="D227" s="5" t="s">
        <v>689</v>
      </c>
      <c r="E227" s="5" t="s">
        <v>690</v>
      </c>
    </row>
    <row r="228" spans="1:5" s="6" customFormat="1" ht="21" customHeight="1">
      <c r="A228" s="4">
        <v>201</v>
      </c>
      <c r="B228" s="5" t="s">
        <v>30</v>
      </c>
      <c r="C228" s="5" t="s">
        <v>691</v>
      </c>
      <c r="D228" s="5" t="s">
        <v>692</v>
      </c>
      <c r="E228" s="5" t="s">
        <v>693</v>
      </c>
    </row>
    <row r="229" spans="1:5" s="6" customFormat="1" ht="21" customHeight="1">
      <c r="A229" s="4">
        <v>231</v>
      </c>
      <c r="B229" s="5" t="s">
        <v>30</v>
      </c>
      <c r="C229" s="5" t="s">
        <v>694</v>
      </c>
      <c r="D229" s="5" t="s">
        <v>695</v>
      </c>
      <c r="E229" s="5" t="s">
        <v>696</v>
      </c>
    </row>
    <row r="230" spans="1:5" s="6" customFormat="1" ht="21" customHeight="1">
      <c r="A230" s="4">
        <v>261</v>
      </c>
      <c r="B230" s="5" t="s">
        <v>30</v>
      </c>
      <c r="C230" s="5" t="s">
        <v>697</v>
      </c>
      <c r="D230" s="5" t="s">
        <v>698</v>
      </c>
      <c r="E230" s="5" t="s">
        <v>699</v>
      </c>
    </row>
    <row r="231" spans="1:5" s="6" customFormat="1" ht="21" customHeight="1">
      <c r="A231" s="4">
        <v>291</v>
      </c>
      <c r="B231" s="5" t="s">
        <v>30</v>
      </c>
      <c r="C231" s="5" t="s">
        <v>700</v>
      </c>
      <c r="D231" s="5" t="s">
        <v>701</v>
      </c>
      <c r="E231" s="5" t="s">
        <v>702</v>
      </c>
    </row>
    <row r="232" spans="1:5" s="6" customFormat="1" ht="21" customHeight="1">
      <c r="A232" s="4">
        <v>26</v>
      </c>
      <c r="B232" s="5" t="s">
        <v>11</v>
      </c>
      <c r="C232" s="5" t="s">
        <v>703</v>
      </c>
      <c r="D232" s="5" t="s">
        <v>704</v>
      </c>
      <c r="E232" s="5" t="s">
        <v>705</v>
      </c>
    </row>
    <row r="233" spans="1:5" s="6" customFormat="1" ht="21" customHeight="1">
      <c r="A233" s="4">
        <v>56</v>
      </c>
      <c r="B233" s="5" t="s">
        <v>11</v>
      </c>
      <c r="C233" s="5" t="s">
        <v>706</v>
      </c>
      <c r="D233" s="5" t="s">
        <v>707</v>
      </c>
      <c r="E233" s="5" t="s">
        <v>708</v>
      </c>
    </row>
    <row r="234" spans="1:5" s="6" customFormat="1" ht="21" customHeight="1">
      <c r="A234" s="4">
        <v>86</v>
      </c>
      <c r="B234" s="5" t="s">
        <v>11</v>
      </c>
      <c r="C234" s="5" t="s">
        <v>709</v>
      </c>
      <c r="D234" s="5" t="s">
        <v>710</v>
      </c>
      <c r="E234" s="5" t="s">
        <v>711</v>
      </c>
    </row>
    <row r="235" spans="1:5" s="6" customFormat="1" ht="21" customHeight="1">
      <c r="A235" s="4">
        <v>116</v>
      </c>
      <c r="B235" s="5" t="s">
        <v>11</v>
      </c>
      <c r="C235" s="5" t="s">
        <v>712</v>
      </c>
      <c r="D235" s="5" t="s">
        <v>713</v>
      </c>
      <c r="E235" s="5" t="s">
        <v>714</v>
      </c>
    </row>
    <row r="236" spans="1:5" s="6" customFormat="1" ht="21" customHeight="1">
      <c r="A236" s="4">
        <v>146</v>
      </c>
      <c r="B236" s="5" t="s">
        <v>11</v>
      </c>
      <c r="C236" s="5" t="s">
        <v>715</v>
      </c>
      <c r="D236" s="5" t="s">
        <v>716</v>
      </c>
      <c r="E236" s="5" t="s">
        <v>717</v>
      </c>
    </row>
    <row r="237" spans="1:5" s="6" customFormat="1" ht="21" customHeight="1">
      <c r="A237" s="4">
        <v>176</v>
      </c>
      <c r="B237" s="5" t="s">
        <v>30</v>
      </c>
      <c r="C237" s="5" t="s">
        <v>718</v>
      </c>
      <c r="D237" s="5" t="s">
        <v>719</v>
      </c>
      <c r="E237" s="5" t="s">
        <v>720</v>
      </c>
    </row>
    <row r="238" spans="1:5" s="6" customFormat="1" ht="21" customHeight="1">
      <c r="A238" s="4">
        <v>206</v>
      </c>
      <c r="B238" s="5" t="s">
        <v>30</v>
      </c>
      <c r="C238" s="5" t="s">
        <v>721</v>
      </c>
      <c r="D238" s="5" t="s">
        <v>722</v>
      </c>
      <c r="E238" s="5" t="s">
        <v>723</v>
      </c>
    </row>
    <row r="239" spans="1:5" s="6" customFormat="1" ht="21" customHeight="1">
      <c r="A239" s="4">
        <v>236</v>
      </c>
      <c r="B239" s="5" t="s">
        <v>30</v>
      </c>
      <c r="C239" s="5" t="s">
        <v>724</v>
      </c>
      <c r="D239" s="5" t="s">
        <v>725</v>
      </c>
      <c r="E239" s="5" t="s">
        <v>726</v>
      </c>
    </row>
    <row r="240" spans="1:5" s="6" customFormat="1" ht="21" customHeight="1">
      <c r="A240" s="4">
        <v>266</v>
      </c>
      <c r="B240" s="5" t="s">
        <v>30</v>
      </c>
      <c r="C240" s="5" t="s">
        <v>727</v>
      </c>
      <c r="D240" s="5" t="s">
        <v>728</v>
      </c>
      <c r="E240" s="5" t="s">
        <v>729</v>
      </c>
    </row>
    <row r="241" spans="1:5" s="6" customFormat="1" ht="21" customHeight="1">
      <c r="A241" s="4">
        <v>296</v>
      </c>
      <c r="B241" s="5" t="s">
        <v>30</v>
      </c>
      <c r="C241" s="5" t="s">
        <v>730</v>
      </c>
      <c r="D241" s="5" t="s">
        <v>731</v>
      </c>
      <c r="E241" s="5" t="s">
        <v>732</v>
      </c>
    </row>
    <row r="242" spans="1:5" s="6" customFormat="1" ht="21" customHeight="1">
      <c r="A242" s="4">
        <v>3</v>
      </c>
      <c r="B242" s="5" t="s">
        <v>11</v>
      </c>
      <c r="C242" s="5" t="s">
        <v>733</v>
      </c>
      <c r="D242" s="5" t="s">
        <v>734</v>
      </c>
      <c r="E242" s="5" t="s">
        <v>735</v>
      </c>
    </row>
    <row r="243" spans="1:5" s="6" customFormat="1" ht="21" customHeight="1">
      <c r="A243" s="4">
        <v>33</v>
      </c>
      <c r="B243" s="5" t="s">
        <v>11</v>
      </c>
      <c r="C243" s="5" t="s">
        <v>736</v>
      </c>
      <c r="D243" s="5" t="s">
        <v>737</v>
      </c>
      <c r="E243" s="5" t="s">
        <v>738</v>
      </c>
    </row>
    <row r="244" spans="1:5" s="6" customFormat="1" ht="21" customHeight="1">
      <c r="A244" s="4">
        <v>63</v>
      </c>
      <c r="B244" s="5" t="s">
        <v>11</v>
      </c>
      <c r="C244" s="5" t="s">
        <v>739</v>
      </c>
      <c r="D244" s="5" t="s">
        <v>740</v>
      </c>
      <c r="E244" s="5" t="s">
        <v>741</v>
      </c>
    </row>
    <row r="245" spans="1:5" s="6" customFormat="1" ht="21" customHeight="1">
      <c r="A245" s="4">
        <v>93</v>
      </c>
      <c r="B245" s="5" t="s">
        <v>11</v>
      </c>
      <c r="C245" s="5" t="s">
        <v>742</v>
      </c>
      <c r="D245" s="5" t="s">
        <v>743</v>
      </c>
      <c r="E245" s="5" t="s">
        <v>744</v>
      </c>
    </row>
    <row r="246" spans="1:5" s="6" customFormat="1" ht="21" customHeight="1">
      <c r="A246" s="4">
        <v>123</v>
      </c>
      <c r="B246" s="5" t="s">
        <v>11</v>
      </c>
      <c r="C246" s="5" t="s">
        <v>745</v>
      </c>
      <c r="D246" s="5" t="s">
        <v>746</v>
      </c>
      <c r="E246" s="5" t="s">
        <v>747</v>
      </c>
    </row>
    <row r="247" spans="1:5" s="6" customFormat="1" ht="21" customHeight="1">
      <c r="A247" s="4">
        <v>153</v>
      </c>
      <c r="B247" s="5" t="s">
        <v>11</v>
      </c>
      <c r="C247" s="5" t="s">
        <v>748</v>
      </c>
      <c r="D247" s="5" t="s">
        <v>749</v>
      </c>
      <c r="E247" s="5" t="s">
        <v>750</v>
      </c>
    </row>
    <row r="248" spans="1:5" s="6" customFormat="1" ht="21" customHeight="1">
      <c r="A248" s="4">
        <v>183</v>
      </c>
      <c r="B248" s="5" t="s">
        <v>30</v>
      </c>
      <c r="C248" s="5" t="s">
        <v>751</v>
      </c>
      <c r="D248" s="5" t="s">
        <v>752</v>
      </c>
      <c r="E248" s="5" t="s">
        <v>753</v>
      </c>
    </row>
    <row r="249" spans="1:5" s="6" customFormat="1" ht="21" customHeight="1">
      <c r="A249" s="4">
        <v>213</v>
      </c>
      <c r="B249" s="5" t="s">
        <v>30</v>
      </c>
      <c r="C249" s="5" t="s">
        <v>754</v>
      </c>
      <c r="D249" s="5" t="s">
        <v>755</v>
      </c>
      <c r="E249" s="5" t="s">
        <v>756</v>
      </c>
    </row>
    <row r="250" spans="1:5" s="6" customFormat="1" ht="21" customHeight="1">
      <c r="A250" s="4">
        <v>243</v>
      </c>
      <c r="B250" s="5" t="s">
        <v>30</v>
      </c>
      <c r="C250" s="5" t="s">
        <v>757</v>
      </c>
      <c r="D250" s="5" t="s">
        <v>758</v>
      </c>
      <c r="E250" s="5" t="s">
        <v>759</v>
      </c>
    </row>
    <row r="251" spans="1:5" s="6" customFormat="1" ht="21" customHeight="1">
      <c r="A251" s="4">
        <v>273</v>
      </c>
      <c r="B251" s="5" t="s">
        <v>30</v>
      </c>
      <c r="C251" s="5" t="s">
        <v>760</v>
      </c>
      <c r="D251" s="5" t="s">
        <v>761</v>
      </c>
      <c r="E251" s="5" t="s">
        <v>762</v>
      </c>
    </row>
    <row r="252" spans="1:5" s="6" customFormat="1" ht="21" customHeight="1">
      <c r="A252" s="4">
        <v>8</v>
      </c>
      <c r="B252" s="5" t="s">
        <v>11</v>
      </c>
      <c r="C252" s="5" t="s">
        <v>763</v>
      </c>
      <c r="D252" s="5" t="s">
        <v>764</v>
      </c>
      <c r="E252" s="5" t="s">
        <v>765</v>
      </c>
    </row>
    <row r="253" spans="1:5" s="6" customFormat="1" ht="21" customHeight="1">
      <c r="A253" s="4">
        <v>68</v>
      </c>
      <c r="B253" s="5" t="s">
        <v>11</v>
      </c>
      <c r="C253" s="5" t="s">
        <v>766</v>
      </c>
      <c r="D253" s="5" t="s">
        <v>767</v>
      </c>
      <c r="E253" s="5" t="s">
        <v>768</v>
      </c>
    </row>
    <row r="254" spans="1:5" s="6" customFormat="1" ht="21" customHeight="1">
      <c r="A254" s="4">
        <v>38</v>
      </c>
      <c r="B254" s="5" t="s">
        <v>11</v>
      </c>
      <c r="C254" s="5" t="s">
        <v>769</v>
      </c>
      <c r="D254" s="5" t="s">
        <v>770</v>
      </c>
      <c r="E254" s="5" t="s">
        <v>771</v>
      </c>
    </row>
    <row r="255" spans="1:5" s="6" customFormat="1" ht="21" customHeight="1">
      <c r="A255" s="4">
        <v>98</v>
      </c>
      <c r="B255" s="5" t="s">
        <v>11</v>
      </c>
      <c r="C255" s="5" t="s">
        <v>772</v>
      </c>
      <c r="D255" s="5" t="s">
        <v>773</v>
      </c>
      <c r="E255" s="5" t="s">
        <v>774</v>
      </c>
    </row>
    <row r="256" spans="1:5" s="6" customFormat="1" ht="21" customHeight="1">
      <c r="A256" s="4">
        <v>128</v>
      </c>
      <c r="B256" s="5" t="s">
        <v>11</v>
      </c>
      <c r="C256" s="5" t="s">
        <v>775</v>
      </c>
      <c r="D256" s="5" t="s">
        <v>776</v>
      </c>
      <c r="E256" s="5" t="s">
        <v>777</v>
      </c>
    </row>
    <row r="257" spans="1:5" s="6" customFormat="1" ht="21" customHeight="1">
      <c r="A257" s="4">
        <v>188</v>
      </c>
      <c r="B257" s="5" t="s">
        <v>30</v>
      </c>
      <c r="C257" s="5" t="s">
        <v>778</v>
      </c>
      <c r="D257" s="5" t="s">
        <v>779</v>
      </c>
      <c r="E257" s="5" t="s">
        <v>780</v>
      </c>
    </row>
    <row r="258" spans="1:5" s="6" customFormat="1" ht="21" customHeight="1">
      <c r="A258" s="4">
        <v>218</v>
      </c>
      <c r="B258" s="5" t="s">
        <v>30</v>
      </c>
      <c r="C258" s="5" t="s">
        <v>781</v>
      </c>
      <c r="D258" s="5" t="s">
        <v>782</v>
      </c>
      <c r="E258" s="5" t="s">
        <v>783</v>
      </c>
    </row>
    <row r="259" spans="1:5" s="6" customFormat="1" ht="21" customHeight="1">
      <c r="A259" s="4">
        <v>158</v>
      </c>
      <c r="B259" s="5" t="s">
        <v>30</v>
      </c>
      <c r="C259" s="5" t="s">
        <v>784</v>
      </c>
      <c r="D259" s="5" t="s">
        <v>785</v>
      </c>
      <c r="E259" s="5" t="s">
        <v>786</v>
      </c>
    </row>
    <row r="260" spans="1:5" s="6" customFormat="1" ht="21" customHeight="1">
      <c r="A260" s="4">
        <v>248</v>
      </c>
      <c r="B260" s="5" t="s">
        <v>30</v>
      </c>
      <c r="C260" s="5" t="s">
        <v>787</v>
      </c>
      <c r="D260" s="5" t="s">
        <v>788</v>
      </c>
      <c r="E260" s="5" t="s">
        <v>789</v>
      </c>
    </row>
    <row r="261" spans="1:5" s="6" customFormat="1" ht="21" customHeight="1">
      <c r="A261" s="4">
        <v>278</v>
      </c>
      <c r="B261" s="5" t="s">
        <v>30</v>
      </c>
      <c r="C261" s="5" t="s">
        <v>790</v>
      </c>
      <c r="D261" s="5" t="s">
        <v>791</v>
      </c>
      <c r="E261" s="5" t="s">
        <v>792</v>
      </c>
    </row>
    <row r="262" spans="1:5" s="6" customFormat="1" ht="21" customHeight="1">
      <c r="A262" s="4">
        <v>13</v>
      </c>
      <c r="B262" s="5" t="s">
        <v>11</v>
      </c>
      <c r="C262" s="5" t="s">
        <v>793</v>
      </c>
      <c r="D262" s="5" t="s">
        <v>794</v>
      </c>
      <c r="E262" s="5" t="s">
        <v>795</v>
      </c>
    </row>
    <row r="263" spans="1:5" s="6" customFormat="1" ht="21" customHeight="1">
      <c r="A263" s="4">
        <v>43</v>
      </c>
      <c r="B263" s="5" t="s">
        <v>11</v>
      </c>
      <c r="C263" s="5" t="s">
        <v>796</v>
      </c>
      <c r="D263" s="5" t="s">
        <v>797</v>
      </c>
      <c r="E263" s="5" t="s">
        <v>798</v>
      </c>
    </row>
    <row r="264" spans="1:5" s="6" customFormat="1" ht="21" customHeight="1">
      <c r="A264" s="4">
        <v>73</v>
      </c>
      <c r="B264" s="5" t="s">
        <v>11</v>
      </c>
      <c r="C264" s="5" t="s">
        <v>799</v>
      </c>
      <c r="D264" s="5" t="s">
        <v>800</v>
      </c>
      <c r="E264" s="5" t="s">
        <v>801</v>
      </c>
    </row>
    <row r="265" spans="1:5" s="6" customFormat="1" ht="21" customHeight="1">
      <c r="A265" s="4">
        <v>103</v>
      </c>
      <c r="B265" s="5" t="s">
        <v>11</v>
      </c>
      <c r="C265" s="5" t="s">
        <v>802</v>
      </c>
      <c r="D265" s="5" t="s">
        <v>803</v>
      </c>
      <c r="E265" s="5" t="s">
        <v>804</v>
      </c>
    </row>
    <row r="266" spans="1:5" s="6" customFormat="1" ht="21" customHeight="1">
      <c r="A266" s="4">
        <v>133</v>
      </c>
      <c r="B266" s="5" t="s">
        <v>11</v>
      </c>
      <c r="C266" s="5" t="s">
        <v>805</v>
      </c>
      <c r="D266" s="5" t="s">
        <v>806</v>
      </c>
      <c r="E266" s="5" t="s">
        <v>807</v>
      </c>
    </row>
    <row r="267" spans="1:5" s="6" customFormat="1" ht="21" customHeight="1">
      <c r="A267" s="4">
        <v>223</v>
      </c>
      <c r="B267" s="5" t="s">
        <v>30</v>
      </c>
      <c r="C267" s="5" t="s">
        <v>808</v>
      </c>
      <c r="D267" s="5" t="s">
        <v>809</v>
      </c>
      <c r="E267" s="5" t="s">
        <v>810</v>
      </c>
    </row>
    <row r="268" spans="1:5" s="6" customFormat="1" ht="21" customHeight="1">
      <c r="A268" s="4">
        <v>283</v>
      </c>
      <c r="B268" s="5" t="s">
        <v>30</v>
      </c>
      <c r="C268" s="5" t="s">
        <v>811</v>
      </c>
      <c r="D268" s="5" t="s">
        <v>812</v>
      </c>
      <c r="E268" s="5" t="s">
        <v>813</v>
      </c>
    </row>
    <row r="269" spans="1:5" s="6" customFormat="1" ht="21" customHeight="1">
      <c r="A269" s="4">
        <v>163</v>
      </c>
      <c r="B269" s="5" t="s">
        <v>30</v>
      </c>
      <c r="C269" s="5" t="s">
        <v>814</v>
      </c>
      <c r="D269" s="5" t="s">
        <v>815</v>
      </c>
      <c r="E269" s="5" t="s">
        <v>816</v>
      </c>
    </row>
    <row r="270" spans="1:5" s="6" customFormat="1" ht="21" customHeight="1">
      <c r="A270" s="4">
        <v>193</v>
      </c>
      <c r="B270" s="5" t="s">
        <v>30</v>
      </c>
      <c r="C270" s="5" t="s">
        <v>817</v>
      </c>
      <c r="D270" s="5" t="s">
        <v>818</v>
      </c>
      <c r="E270" s="5" t="s">
        <v>819</v>
      </c>
    </row>
    <row r="271" spans="1:5" s="6" customFormat="1" ht="21" customHeight="1">
      <c r="A271" s="4">
        <v>253</v>
      </c>
      <c r="B271" s="5" t="s">
        <v>30</v>
      </c>
      <c r="C271" s="5" t="s">
        <v>820</v>
      </c>
      <c r="D271" s="5" t="s">
        <v>821</v>
      </c>
      <c r="E271" s="5" t="s">
        <v>822</v>
      </c>
    </row>
    <row r="272" spans="1:5" s="6" customFormat="1" ht="21" customHeight="1">
      <c r="A272" s="4">
        <v>18</v>
      </c>
      <c r="B272" s="5" t="s">
        <v>11</v>
      </c>
      <c r="C272" s="5" t="s">
        <v>823</v>
      </c>
      <c r="D272" s="5" t="s">
        <v>824</v>
      </c>
      <c r="E272" s="5" t="s">
        <v>825</v>
      </c>
    </row>
    <row r="273" spans="1:5" s="6" customFormat="1" ht="21" customHeight="1">
      <c r="A273" s="4">
        <v>48</v>
      </c>
      <c r="B273" s="5" t="s">
        <v>11</v>
      </c>
      <c r="C273" s="5" t="s">
        <v>826</v>
      </c>
      <c r="D273" s="5" t="s">
        <v>827</v>
      </c>
      <c r="E273" s="5" t="s">
        <v>828</v>
      </c>
    </row>
    <row r="274" spans="1:5" s="6" customFormat="1" ht="21" customHeight="1">
      <c r="A274" s="4">
        <v>78</v>
      </c>
      <c r="B274" s="5" t="s">
        <v>11</v>
      </c>
      <c r="C274" s="5" t="s">
        <v>829</v>
      </c>
      <c r="D274" s="5" t="s">
        <v>830</v>
      </c>
      <c r="E274" s="5" t="s">
        <v>831</v>
      </c>
    </row>
    <row r="275" spans="1:5" s="6" customFormat="1" ht="21" customHeight="1">
      <c r="A275" s="4">
        <v>108</v>
      </c>
      <c r="B275" s="5" t="s">
        <v>11</v>
      </c>
      <c r="C275" s="5" t="s">
        <v>832</v>
      </c>
      <c r="D275" s="5" t="s">
        <v>833</v>
      </c>
      <c r="E275" s="5" t="s">
        <v>834</v>
      </c>
    </row>
    <row r="276" spans="1:5" s="6" customFormat="1" ht="21" customHeight="1">
      <c r="A276" s="4">
        <v>138</v>
      </c>
      <c r="B276" s="5" t="s">
        <v>30</v>
      </c>
      <c r="C276" s="5" t="s">
        <v>835</v>
      </c>
      <c r="D276" s="5" t="s">
        <v>836</v>
      </c>
      <c r="E276" s="5" t="s">
        <v>837</v>
      </c>
    </row>
    <row r="277" spans="1:5" s="6" customFormat="1" ht="21" customHeight="1">
      <c r="A277" s="4">
        <v>168</v>
      </c>
      <c r="B277" s="5" t="s">
        <v>30</v>
      </c>
      <c r="C277" s="5" t="s">
        <v>838</v>
      </c>
      <c r="D277" s="5" t="s">
        <v>839</v>
      </c>
      <c r="E277" s="5" t="s">
        <v>840</v>
      </c>
    </row>
    <row r="278" spans="1:5" s="6" customFormat="1" ht="21" customHeight="1">
      <c r="A278" s="4">
        <v>288</v>
      </c>
      <c r="B278" s="5" t="s">
        <v>30</v>
      </c>
      <c r="C278" s="5" t="s">
        <v>841</v>
      </c>
      <c r="D278" s="5" t="s">
        <v>842</v>
      </c>
      <c r="E278" s="5" t="s">
        <v>843</v>
      </c>
    </row>
    <row r="279" spans="1:5" s="6" customFormat="1" ht="21" customHeight="1">
      <c r="A279" s="4">
        <v>198</v>
      </c>
      <c r="B279" s="5" t="s">
        <v>30</v>
      </c>
      <c r="C279" s="5" t="s">
        <v>844</v>
      </c>
      <c r="D279" s="5" t="s">
        <v>845</v>
      </c>
      <c r="E279" s="5" t="s">
        <v>846</v>
      </c>
    </row>
    <row r="280" spans="1:5" s="6" customFormat="1" ht="21" customHeight="1">
      <c r="A280" s="4">
        <v>228</v>
      </c>
      <c r="B280" s="5" t="s">
        <v>30</v>
      </c>
      <c r="C280" s="5" t="s">
        <v>847</v>
      </c>
      <c r="D280" s="5" t="s">
        <v>848</v>
      </c>
      <c r="E280" s="5" t="s">
        <v>849</v>
      </c>
    </row>
    <row r="281" spans="1:5" s="6" customFormat="1" ht="21" customHeight="1">
      <c r="A281" s="4">
        <v>258</v>
      </c>
      <c r="B281" s="5" t="s">
        <v>30</v>
      </c>
      <c r="C281" s="5" t="s">
        <v>850</v>
      </c>
      <c r="D281" s="5" t="s">
        <v>851</v>
      </c>
      <c r="E281" s="5" t="s">
        <v>852</v>
      </c>
    </row>
    <row r="282" spans="1:5" s="6" customFormat="1" ht="21" customHeight="1">
      <c r="A282" s="4">
        <v>53</v>
      </c>
      <c r="B282" s="5" t="s">
        <v>11</v>
      </c>
      <c r="C282" s="5" t="s">
        <v>853</v>
      </c>
      <c r="D282" s="5" t="s">
        <v>854</v>
      </c>
      <c r="E282" s="5" t="s">
        <v>855</v>
      </c>
    </row>
    <row r="283" spans="1:5" s="6" customFormat="1" ht="21" customHeight="1">
      <c r="A283" s="4">
        <v>23</v>
      </c>
      <c r="B283" s="5" t="s">
        <v>11</v>
      </c>
      <c r="C283" s="5" t="s">
        <v>856</v>
      </c>
      <c r="D283" s="5" t="s">
        <v>857</v>
      </c>
      <c r="E283" s="5" t="s">
        <v>858</v>
      </c>
    </row>
    <row r="284" spans="1:5" s="6" customFormat="1" ht="21" customHeight="1">
      <c r="A284" s="4">
        <v>83</v>
      </c>
      <c r="B284" s="5" t="s">
        <v>11</v>
      </c>
      <c r="C284" s="5" t="s">
        <v>859</v>
      </c>
      <c r="D284" s="5" t="s">
        <v>860</v>
      </c>
      <c r="E284" s="5" t="s">
        <v>861</v>
      </c>
    </row>
    <row r="285" spans="1:5" s="6" customFormat="1" ht="21" customHeight="1">
      <c r="A285" s="4">
        <v>113</v>
      </c>
      <c r="B285" s="5" t="s">
        <v>11</v>
      </c>
      <c r="C285" s="5" t="s">
        <v>862</v>
      </c>
      <c r="D285" s="5" t="s">
        <v>863</v>
      </c>
      <c r="E285" s="5" t="s">
        <v>864</v>
      </c>
    </row>
    <row r="286" spans="1:5" s="6" customFormat="1" ht="21" customHeight="1">
      <c r="A286" s="4">
        <v>143</v>
      </c>
      <c r="B286" s="5" t="s">
        <v>11</v>
      </c>
      <c r="C286" s="5" t="s">
        <v>865</v>
      </c>
      <c r="D286" s="5" t="s">
        <v>866</v>
      </c>
      <c r="E286" s="5" t="s">
        <v>867</v>
      </c>
    </row>
    <row r="287" spans="1:5" s="6" customFormat="1" ht="21" customHeight="1">
      <c r="A287" s="4">
        <v>203</v>
      </c>
      <c r="B287" s="5" t="s">
        <v>30</v>
      </c>
      <c r="C287" s="5" t="s">
        <v>868</v>
      </c>
      <c r="D287" s="5" t="s">
        <v>869</v>
      </c>
      <c r="E287" s="5" t="s">
        <v>870</v>
      </c>
    </row>
    <row r="288" spans="1:5" s="6" customFormat="1" ht="21" customHeight="1">
      <c r="A288" s="4">
        <v>233</v>
      </c>
      <c r="B288" s="5" t="s">
        <v>30</v>
      </c>
      <c r="C288" s="5" t="s">
        <v>871</v>
      </c>
      <c r="D288" s="5" t="s">
        <v>872</v>
      </c>
      <c r="E288" s="5" t="s">
        <v>873</v>
      </c>
    </row>
    <row r="289" spans="1:5" s="6" customFormat="1" ht="21" customHeight="1">
      <c r="A289" s="4">
        <v>263</v>
      </c>
      <c r="B289" s="5" t="s">
        <v>30</v>
      </c>
      <c r="C289" s="5" t="s">
        <v>874</v>
      </c>
      <c r="D289" s="5" t="s">
        <v>875</v>
      </c>
      <c r="E289" s="5" t="s">
        <v>876</v>
      </c>
    </row>
    <row r="290" spans="1:5" s="6" customFormat="1" ht="21" customHeight="1">
      <c r="A290" s="4">
        <v>173</v>
      </c>
      <c r="B290" s="5" t="s">
        <v>30</v>
      </c>
      <c r="C290" s="5" t="s">
        <v>877</v>
      </c>
      <c r="D290" s="5" t="s">
        <v>878</v>
      </c>
      <c r="E290" s="5" t="s">
        <v>879</v>
      </c>
    </row>
    <row r="291" spans="1:5" s="6" customFormat="1" ht="21" customHeight="1">
      <c r="A291" s="4">
        <v>293</v>
      </c>
      <c r="B291" s="5" t="s">
        <v>30</v>
      </c>
      <c r="C291" s="5" t="s">
        <v>880</v>
      </c>
      <c r="D291" s="5" t="s">
        <v>881</v>
      </c>
      <c r="E291" s="5" t="s">
        <v>882</v>
      </c>
    </row>
    <row r="292" spans="1:5" s="6" customFormat="1" ht="21" customHeight="1">
      <c r="A292" s="4">
        <v>28</v>
      </c>
      <c r="B292" s="5" t="s">
        <v>11</v>
      </c>
      <c r="C292" s="5" t="s">
        <v>883</v>
      </c>
      <c r="D292" s="5" t="s">
        <v>884</v>
      </c>
      <c r="E292" s="5" t="s">
        <v>885</v>
      </c>
    </row>
    <row r="293" spans="1:5" s="6" customFormat="1" ht="21" customHeight="1">
      <c r="A293" s="4">
        <v>58</v>
      </c>
      <c r="B293" s="5" t="s">
        <v>11</v>
      </c>
      <c r="C293" s="5" t="s">
        <v>886</v>
      </c>
      <c r="D293" s="5" t="s">
        <v>887</v>
      </c>
      <c r="E293" s="5" t="s">
        <v>888</v>
      </c>
    </row>
    <row r="294" spans="1:5" s="6" customFormat="1" ht="21" customHeight="1">
      <c r="A294" s="4">
        <v>88</v>
      </c>
      <c r="B294" s="5" t="s">
        <v>11</v>
      </c>
      <c r="C294" s="5" t="s">
        <v>889</v>
      </c>
      <c r="D294" s="5" t="s">
        <v>890</v>
      </c>
      <c r="E294" s="5" t="s">
        <v>891</v>
      </c>
    </row>
    <row r="295" spans="1:5" s="6" customFormat="1" ht="21" customHeight="1">
      <c r="A295" s="4">
        <v>148</v>
      </c>
      <c r="B295" s="5" t="s">
        <v>30</v>
      </c>
      <c r="C295" s="5" t="s">
        <v>892</v>
      </c>
      <c r="D295" s="5" t="s">
        <v>893</v>
      </c>
      <c r="E295" s="5" t="s">
        <v>894</v>
      </c>
    </row>
    <row r="296" spans="1:5" s="6" customFormat="1" ht="21" customHeight="1">
      <c r="A296" s="4">
        <v>268</v>
      </c>
      <c r="B296" s="5" t="s">
        <v>30</v>
      </c>
      <c r="C296" s="5" t="s">
        <v>895</v>
      </c>
      <c r="D296" s="5" t="s">
        <v>896</v>
      </c>
      <c r="E296" s="5" t="s">
        <v>897</v>
      </c>
    </row>
    <row r="297" spans="1:5" s="6" customFormat="1" ht="21" customHeight="1">
      <c r="A297" s="4">
        <v>118</v>
      </c>
      <c r="B297" s="5" t="s">
        <v>30</v>
      </c>
      <c r="C297" s="5" t="s">
        <v>898</v>
      </c>
      <c r="D297" s="5" t="s">
        <v>899</v>
      </c>
      <c r="E297" s="5" t="s">
        <v>900</v>
      </c>
    </row>
    <row r="298" spans="1:5" s="6" customFormat="1" ht="21" customHeight="1">
      <c r="A298" s="4">
        <v>178</v>
      </c>
      <c r="B298" s="5" t="s">
        <v>30</v>
      </c>
      <c r="C298" s="5" t="s">
        <v>901</v>
      </c>
      <c r="D298" s="5" t="s">
        <v>902</v>
      </c>
      <c r="E298" s="5" t="s">
        <v>903</v>
      </c>
    </row>
    <row r="299" spans="1:5" s="6" customFormat="1" ht="21" customHeight="1">
      <c r="A299" s="4">
        <v>208</v>
      </c>
      <c r="B299" s="5" t="s">
        <v>30</v>
      </c>
      <c r="C299" s="5" t="s">
        <v>904</v>
      </c>
      <c r="D299" s="5" t="s">
        <v>905</v>
      </c>
      <c r="E299" s="5" t="s">
        <v>906</v>
      </c>
    </row>
    <row r="300" spans="1:5" s="6" customFormat="1" ht="21" customHeight="1">
      <c r="A300" s="4">
        <v>238</v>
      </c>
      <c r="B300" s="5" t="s">
        <v>30</v>
      </c>
      <c r="C300" s="5" t="s">
        <v>907</v>
      </c>
      <c r="D300" s="5" t="s">
        <v>908</v>
      </c>
      <c r="E300" s="5" t="s">
        <v>909</v>
      </c>
    </row>
    <row r="301" spans="1:5" s="6" customFormat="1" ht="21" customHeight="1">
      <c r="A301" s="4">
        <v>298</v>
      </c>
      <c r="B301" s="5" t="s">
        <v>30</v>
      </c>
      <c r="C301" s="5" t="s">
        <v>910</v>
      </c>
      <c r="D301" s="5" t="s">
        <v>911</v>
      </c>
      <c r="E301" s="5" t="s">
        <v>912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1"/>
  <sheetViews>
    <sheetView tabSelected="1" topLeftCell="E62" zoomScale="165" workbookViewId="0">
      <selection activeCell="F72" sqref="F72"/>
    </sheetView>
  </sheetViews>
  <sheetFormatPr baseColWidth="10" defaultColWidth="8.83203125" defaultRowHeight="13"/>
  <cols>
    <col min="1" max="1" width="8" style="6" customWidth="1"/>
    <col min="2" max="2" width="6" style="6" customWidth="1"/>
    <col min="3" max="3" width="10" style="6" customWidth="1"/>
    <col min="4" max="4" width="45" style="6" customWidth="1"/>
    <col min="5" max="5" width="55" style="6" customWidth="1"/>
    <col min="6" max="6" width="18" style="6" customWidth="1"/>
    <col min="7" max="7" width="60" style="6" customWidth="1"/>
    <col min="8" max="8" width="12" style="6" customWidth="1"/>
    <col min="9" max="9" width="36" style="6" customWidth="1"/>
    <col min="10" max="10" width="28" style="6" customWidth="1"/>
    <col min="11" max="11" width="10" style="6" customWidth="1"/>
  </cols>
  <sheetData>
    <row r="1" spans="1:11" s="6" customFormat="1" ht="28" customHeight="1">
      <c r="A1" s="15" t="s">
        <v>6</v>
      </c>
      <c r="B1" s="15" t="s">
        <v>7</v>
      </c>
      <c r="C1" s="15" t="s">
        <v>8</v>
      </c>
      <c r="D1" s="15" t="s">
        <v>9</v>
      </c>
      <c r="E1" s="15" t="s">
        <v>10</v>
      </c>
      <c r="F1" s="15" t="s">
        <v>913</v>
      </c>
      <c r="G1" s="15" t="s">
        <v>914</v>
      </c>
      <c r="H1" s="15" t="s">
        <v>915</v>
      </c>
      <c r="I1" s="15" t="s">
        <v>916</v>
      </c>
      <c r="J1" s="15" t="s">
        <v>917</v>
      </c>
      <c r="K1" s="15" t="s">
        <v>918</v>
      </c>
    </row>
    <row r="2" spans="1:11" s="6" customFormat="1" ht="28" customHeight="1">
      <c r="A2" s="4">
        <v>1</v>
      </c>
      <c r="B2" s="5" t="s">
        <v>11</v>
      </c>
      <c r="C2" s="5" t="s">
        <v>553</v>
      </c>
      <c r="D2" s="5" t="s">
        <v>554</v>
      </c>
      <c r="E2" s="5" t="s">
        <v>555</v>
      </c>
      <c r="F2" s="11">
        <v>4.5</v>
      </c>
      <c r="G2" t="s">
        <v>919</v>
      </c>
      <c r="H2" s="12">
        <f t="shared" ref="H2:H65" si="0">IF(ISBLANK(F2),"",IF($B2="+",F2,6-F2))</f>
        <v>4.5</v>
      </c>
      <c r="I2" s="16" t="s">
        <v>920</v>
      </c>
      <c r="J2" t="s">
        <v>921</v>
      </c>
      <c r="K2" s="7" t="str">
        <f t="shared" ref="K2:K65" si="1">LEFT($C2,FIND("_",$C2)-1)</f>
        <v>N1</v>
      </c>
    </row>
    <row r="3" spans="1:11" s="6" customFormat="1" ht="28" customHeight="1">
      <c r="A3" s="4">
        <v>2</v>
      </c>
      <c r="B3" s="5" t="s">
        <v>11</v>
      </c>
      <c r="C3" s="5" t="s">
        <v>373</v>
      </c>
      <c r="D3" s="5" t="s">
        <v>374</v>
      </c>
      <c r="E3" s="5" t="s">
        <v>375</v>
      </c>
      <c r="F3" s="11">
        <v>3</v>
      </c>
      <c r="G3" t="s">
        <v>922</v>
      </c>
      <c r="H3" s="12">
        <f t="shared" si="0"/>
        <v>3</v>
      </c>
      <c r="I3" s="16" t="s">
        <v>923</v>
      </c>
      <c r="J3" t="s">
        <v>921</v>
      </c>
      <c r="K3" s="7" t="str">
        <f t="shared" si="1"/>
        <v>E1</v>
      </c>
    </row>
    <row r="4" spans="1:11" s="6" customFormat="1" ht="28" customHeight="1">
      <c r="A4" s="4">
        <v>3</v>
      </c>
      <c r="B4" s="5" t="s">
        <v>11</v>
      </c>
      <c r="C4" s="5" t="s">
        <v>733</v>
      </c>
      <c r="D4" s="5" t="s">
        <v>734</v>
      </c>
      <c r="E4" s="5" t="s">
        <v>735</v>
      </c>
      <c r="F4" s="11">
        <v>4</v>
      </c>
      <c r="G4" t="s">
        <v>924</v>
      </c>
      <c r="H4" s="12">
        <f t="shared" si="0"/>
        <v>4</v>
      </c>
      <c r="I4" s="16" t="s">
        <v>925</v>
      </c>
      <c r="J4" t="s">
        <v>921</v>
      </c>
      <c r="K4" s="7" t="str">
        <f t="shared" si="1"/>
        <v>O1</v>
      </c>
    </row>
    <row r="5" spans="1:11" s="6" customFormat="1" ht="28" customHeight="1">
      <c r="A5" s="2">
        <v>4</v>
      </c>
      <c r="B5" s="3" t="s">
        <v>11</v>
      </c>
      <c r="C5" s="3" t="s">
        <v>12</v>
      </c>
      <c r="D5" s="3" t="s">
        <v>13</v>
      </c>
      <c r="E5" s="3" t="s">
        <v>14</v>
      </c>
      <c r="F5" s="11">
        <v>2</v>
      </c>
      <c r="G5" t="s">
        <v>926</v>
      </c>
      <c r="H5" s="12">
        <f t="shared" si="0"/>
        <v>2</v>
      </c>
      <c r="I5" s="16" t="s">
        <v>927</v>
      </c>
      <c r="J5" t="s">
        <v>921</v>
      </c>
      <c r="K5" s="7" t="str">
        <f t="shared" si="1"/>
        <v>A1</v>
      </c>
    </row>
    <row r="6" spans="1:11" s="6" customFormat="1" ht="28" customHeight="1">
      <c r="A6" s="4">
        <v>5</v>
      </c>
      <c r="B6" s="5" t="s">
        <v>11</v>
      </c>
      <c r="C6" s="5" t="s">
        <v>193</v>
      </c>
      <c r="D6" s="5" t="s">
        <v>194</v>
      </c>
      <c r="E6" s="5" t="s">
        <v>195</v>
      </c>
      <c r="F6" s="11">
        <v>4</v>
      </c>
      <c r="G6" t="s">
        <v>928</v>
      </c>
      <c r="H6" s="12">
        <f t="shared" si="0"/>
        <v>4</v>
      </c>
      <c r="I6" s="16" t="s">
        <v>929</v>
      </c>
      <c r="J6" t="s">
        <v>921</v>
      </c>
      <c r="K6" s="7" t="str">
        <f t="shared" si="1"/>
        <v>C1</v>
      </c>
    </row>
    <row r="7" spans="1:11" s="6" customFormat="1" ht="28" customHeight="1">
      <c r="A7" s="4">
        <v>6</v>
      </c>
      <c r="B7" s="5" t="s">
        <v>11</v>
      </c>
      <c r="C7" s="5" t="s">
        <v>583</v>
      </c>
      <c r="D7" s="5" t="s">
        <v>584</v>
      </c>
      <c r="E7" s="5" t="s">
        <v>585</v>
      </c>
      <c r="F7" s="11">
        <v>4</v>
      </c>
      <c r="G7" t="s">
        <v>930</v>
      </c>
      <c r="H7" s="12">
        <f t="shared" si="0"/>
        <v>4</v>
      </c>
      <c r="I7" s="16" t="s">
        <v>931</v>
      </c>
      <c r="J7" t="s">
        <v>921</v>
      </c>
      <c r="K7" s="7" t="str">
        <f t="shared" si="1"/>
        <v>N2</v>
      </c>
    </row>
    <row r="8" spans="1:11" s="6" customFormat="1" ht="28" customHeight="1">
      <c r="A8" s="4">
        <v>7</v>
      </c>
      <c r="B8" s="5" t="s">
        <v>11</v>
      </c>
      <c r="C8" s="5" t="s">
        <v>403</v>
      </c>
      <c r="D8" s="5" t="s">
        <v>404</v>
      </c>
      <c r="E8" s="5" t="s">
        <v>405</v>
      </c>
      <c r="F8" s="11">
        <v>2</v>
      </c>
      <c r="G8" t="s">
        <v>932</v>
      </c>
      <c r="H8" s="12">
        <f t="shared" si="0"/>
        <v>2</v>
      </c>
      <c r="I8" s="16" t="s">
        <v>933</v>
      </c>
      <c r="J8" t="s">
        <v>921</v>
      </c>
      <c r="K8" s="7" t="str">
        <f t="shared" si="1"/>
        <v>E2</v>
      </c>
    </row>
    <row r="9" spans="1:11" s="6" customFormat="1" ht="28" customHeight="1">
      <c r="A9" s="4">
        <v>8</v>
      </c>
      <c r="B9" s="5" t="s">
        <v>11</v>
      </c>
      <c r="C9" s="5" t="s">
        <v>763</v>
      </c>
      <c r="D9" s="5" t="s">
        <v>764</v>
      </c>
      <c r="E9" s="5" t="s">
        <v>765</v>
      </c>
      <c r="F9" s="11">
        <v>4</v>
      </c>
      <c r="G9" t="s">
        <v>934</v>
      </c>
      <c r="H9" s="12">
        <f t="shared" si="0"/>
        <v>4</v>
      </c>
      <c r="I9" s="16" t="s">
        <v>935</v>
      </c>
      <c r="J9" t="s">
        <v>921</v>
      </c>
      <c r="K9" s="7" t="str">
        <f t="shared" si="1"/>
        <v>O2</v>
      </c>
    </row>
    <row r="10" spans="1:11" s="6" customFormat="1" ht="28" customHeight="1">
      <c r="A10" s="4">
        <v>9</v>
      </c>
      <c r="B10" s="5" t="s">
        <v>11</v>
      </c>
      <c r="C10" s="5" t="s">
        <v>43</v>
      </c>
      <c r="D10" s="5" t="s">
        <v>44</v>
      </c>
      <c r="E10" s="5" t="s">
        <v>45</v>
      </c>
      <c r="F10" s="11">
        <v>2</v>
      </c>
      <c r="G10" t="s">
        <v>936</v>
      </c>
      <c r="H10" s="12">
        <f t="shared" si="0"/>
        <v>2</v>
      </c>
      <c r="I10" s="16" t="s">
        <v>937</v>
      </c>
      <c r="J10" t="s">
        <v>921</v>
      </c>
      <c r="K10" s="7" t="str">
        <f t="shared" si="1"/>
        <v>A2</v>
      </c>
    </row>
    <row r="11" spans="1:11" s="6" customFormat="1" ht="28" customHeight="1">
      <c r="A11" s="4">
        <v>10</v>
      </c>
      <c r="B11" s="5" t="s">
        <v>11</v>
      </c>
      <c r="C11" s="5" t="s">
        <v>226</v>
      </c>
      <c r="D11" s="5" t="s">
        <v>227</v>
      </c>
      <c r="E11" s="5" t="s">
        <v>228</v>
      </c>
      <c r="F11" s="11">
        <v>2</v>
      </c>
      <c r="G11" t="s">
        <v>938</v>
      </c>
      <c r="H11" s="12">
        <f t="shared" si="0"/>
        <v>2</v>
      </c>
      <c r="I11" s="16" t="s">
        <v>939</v>
      </c>
      <c r="J11" t="s">
        <v>921</v>
      </c>
      <c r="K11" s="7" t="str">
        <f t="shared" si="1"/>
        <v>C2</v>
      </c>
    </row>
    <row r="12" spans="1:11" s="6" customFormat="1" ht="28" customHeight="1">
      <c r="A12" s="4">
        <v>11</v>
      </c>
      <c r="B12" s="5" t="s">
        <v>11</v>
      </c>
      <c r="C12" s="5" t="s">
        <v>613</v>
      </c>
      <c r="D12" s="5" t="s">
        <v>614</v>
      </c>
      <c r="E12" s="5" t="s">
        <v>615</v>
      </c>
      <c r="F12" s="11">
        <v>4</v>
      </c>
      <c r="G12" t="s">
        <v>940</v>
      </c>
      <c r="H12" s="12">
        <f t="shared" si="0"/>
        <v>4</v>
      </c>
      <c r="I12" s="16" t="s">
        <v>941</v>
      </c>
      <c r="J12" t="s">
        <v>921</v>
      </c>
      <c r="K12" s="7" t="str">
        <f t="shared" si="1"/>
        <v>N3</v>
      </c>
    </row>
    <row r="13" spans="1:11" s="6" customFormat="1" ht="28" customHeight="1">
      <c r="A13" s="4">
        <v>12</v>
      </c>
      <c r="B13" s="5" t="s">
        <v>11</v>
      </c>
      <c r="C13" s="5" t="s">
        <v>433</v>
      </c>
      <c r="D13" s="5" t="s">
        <v>434</v>
      </c>
      <c r="E13" s="5" t="s">
        <v>435</v>
      </c>
      <c r="F13" s="11">
        <v>4</v>
      </c>
      <c r="G13" t="s">
        <v>942</v>
      </c>
      <c r="H13" s="12">
        <f t="shared" si="0"/>
        <v>4</v>
      </c>
      <c r="I13" s="16" t="s">
        <v>943</v>
      </c>
      <c r="J13" t="s">
        <v>921</v>
      </c>
      <c r="K13" s="7" t="str">
        <f t="shared" si="1"/>
        <v>E3</v>
      </c>
    </row>
    <row r="14" spans="1:11" s="6" customFormat="1" ht="28" customHeight="1">
      <c r="A14" s="4">
        <v>13</v>
      </c>
      <c r="B14" s="5" t="s">
        <v>11</v>
      </c>
      <c r="C14" s="5" t="s">
        <v>793</v>
      </c>
      <c r="D14" s="5" t="s">
        <v>794</v>
      </c>
      <c r="E14" s="5" t="s">
        <v>795</v>
      </c>
      <c r="F14" s="11">
        <v>3.75</v>
      </c>
      <c r="G14" t="s">
        <v>944</v>
      </c>
      <c r="H14" s="12">
        <f t="shared" si="0"/>
        <v>3.75</v>
      </c>
      <c r="I14" s="16" t="s">
        <v>945</v>
      </c>
      <c r="J14" t="s">
        <v>921</v>
      </c>
      <c r="K14" s="7" t="str">
        <f t="shared" si="1"/>
        <v>O3</v>
      </c>
    </row>
    <row r="15" spans="1:11" s="6" customFormat="1" ht="28" customHeight="1">
      <c r="A15" s="4">
        <v>14</v>
      </c>
      <c r="B15" s="5" t="s">
        <v>11</v>
      </c>
      <c r="C15" s="5" t="s">
        <v>79</v>
      </c>
      <c r="D15" s="5" t="s">
        <v>80</v>
      </c>
      <c r="E15" s="5" t="s">
        <v>81</v>
      </c>
      <c r="F15" s="11">
        <v>3.5</v>
      </c>
      <c r="G15" t="s">
        <v>946</v>
      </c>
      <c r="H15" s="12">
        <f t="shared" si="0"/>
        <v>3.5</v>
      </c>
      <c r="I15" s="16" t="s">
        <v>947</v>
      </c>
      <c r="J15" t="s">
        <v>921</v>
      </c>
      <c r="K15" s="7" t="str">
        <f t="shared" si="1"/>
        <v>A3</v>
      </c>
    </row>
    <row r="16" spans="1:11" s="6" customFormat="1" ht="28" customHeight="1">
      <c r="A16" s="4">
        <v>15</v>
      </c>
      <c r="B16" s="5" t="s">
        <v>11</v>
      </c>
      <c r="C16" s="5" t="s">
        <v>259</v>
      </c>
      <c r="D16" s="5" t="s">
        <v>260</v>
      </c>
      <c r="E16" s="5" t="s">
        <v>261</v>
      </c>
      <c r="F16" s="11">
        <v>2</v>
      </c>
      <c r="G16" t="s">
        <v>948</v>
      </c>
      <c r="H16" s="12">
        <f t="shared" si="0"/>
        <v>2</v>
      </c>
      <c r="I16" s="16" t="s">
        <v>949</v>
      </c>
      <c r="J16" t="s">
        <v>921</v>
      </c>
      <c r="K16" s="7" t="str">
        <f t="shared" si="1"/>
        <v>C3</v>
      </c>
    </row>
    <row r="17" spans="1:11" s="6" customFormat="1" ht="28" customHeight="1">
      <c r="A17" s="4">
        <v>16</v>
      </c>
      <c r="B17" s="5" t="s">
        <v>11</v>
      </c>
      <c r="C17" s="5" t="s">
        <v>652</v>
      </c>
      <c r="D17" s="5" t="s">
        <v>653</v>
      </c>
      <c r="E17" s="5" t="s">
        <v>654</v>
      </c>
      <c r="F17" s="11">
        <v>5</v>
      </c>
      <c r="G17" t="s">
        <v>950</v>
      </c>
      <c r="H17" s="12">
        <f t="shared" si="0"/>
        <v>5</v>
      </c>
      <c r="I17" s="16" t="s">
        <v>951</v>
      </c>
      <c r="J17" t="s">
        <v>921</v>
      </c>
      <c r="K17" s="7" t="str">
        <f t="shared" si="1"/>
        <v>N4</v>
      </c>
    </row>
    <row r="18" spans="1:11" s="6" customFormat="1" ht="28" customHeight="1">
      <c r="A18" s="4">
        <v>17</v>
      </c>
      <c r="B18" s="5" t="s">
        <v>11</v>
      </c>
      <c r="C18" s="5" t="s">
        <v>463</v>
      </c>
      <c r="D18" s="5" t="s">
        <v>464</v>
      </c>
      <c r="E18" s="5" t="s">
        <v>465</v>
      </c>
      <c r="F18" s="11">
        <v>4</v>
      </c>
      <c r="G18" t="s">
        <v>952</v>
      </c>
      <c r="H18" s="12">
        <f t="shared" si="0"/>
        <v>4</v>
      </c>
      <c r="I18" s="16" t="s">
        <v>953</v>
      </c>
      <c r="J18" t="s">
        <v>921</v>
      </c>
      <c r="K18" s="7" t="str">
        <f t="shared" si="1"/>
        <v>E4</v>
      </c>
    </row>
    <row r="19" spans="1:11" s="6" customFormat="1" ht="28" customHeight="1">
      <c r="A19" s="4">
        <v>18</v>
      </c>
      <c r="B19" s="5" t="s">
        <v>11</v>
      </c>
      <c r="C19" s="5" t="s">
        <v>823</v>
      </c>
      <c r="D19" s="5" t="s">
        <v>824</v>
      </c>
      <c r="E19" s="5" t="s">
        <v>825</v>
      </c>
      <c r="F19" s="11">
        <v>4.5</v>
      </c>
      <c r="G19" t="s">
        <v>954</v>
      </c>
      <c r="H19" s="12">
        <f t="shared" si="0"/>
        <v>4.5</v>
      </c>
      <c r="I19" s="16" t="s">
        <v>955</v>
      </c>
      <c r="J19" t="s">
        <v>921</v>
      </c>
      <c r="K19" s="7" t="str">
        <f t="shared" si="1"/>
        <v>O4</v>
      </c>
    </row>
    <row r="20" spans="1:11" s="6" customFormat="1" ht="28" customHeight="1">
      <c r="A20" s="4">
        <v>19</v>
      </c>
      <c r="B20" s="5" t="s">
        <v>11</v>
      </c>
      <c r="C20" s="5" t="s">
        <v>103</v>
      </c>
      <c r="D20" s="5" t="s">
        <v>104</v>
      </c>
      <c r="E20" s="5" t="s">
        <v>105</v>
      </c>
      <c r="F20" s="11">
        <v>1.5</v>
      </c>
      <c r="G20" t="s">
        <v>956</v>
      </c>
      <c r="H20" s="12">
        <f t="shared" si="0"/>
        <v>1.5</v>
      </c>
      <c r="I20" s="16" t="s">
        <v>957</v>
      </c>
      <c r="J20" t="s">
        <v>921</v>
      </c>
      <c r="K20" s="7" t="str">
        <f t="shared" si="1"/>
        <v>A4</v>
      </c>
    </row>
    <row r="21" spans="1:11" s="6" customFormat="1" ht="28" customHeight="1">
      <c r="A21" s="4">
        <v>20</v>
      </c>
      <c r="B21" s="5" t="s">
        <v>11</v>
      </c>
      <c r="C21" s="5" t="s">
        <v>289</v>
      </c>
      <c r="D21" s="5" t="s">
        <v>290</v>
      </c>
      <c r="E21" s="5" t="s">
        <v>291</v>
      </c>
      <c r="F21" s="11">
        <v>4</v>
      </c>
      <c r="G21" t="s">
        <v>958</v>
      </c>
      <c r="H21" s="12">
        <f t="shared" si="0"/>
        <v>4</v>
      </c>
      <c r="I21" s="16" t="s">
        <v>959</v>
      </c>
      <c r="J21" t="s">
        <v>921</v>
      </c>
      <c r="K21" s="7" t="str">
        <f t="shared" si="1"/>
        <v>C4</v>
      </c>
    </row>
    <row r="22" spans="1:11" s="6" customFormat="1" ht="28" customHeight="1">
      <c r="A22" s="4">
        <v>21</v>
      </c>
      <c r="B22" s="5" t="s">
        <v>11</v>
      </c>
      <c r="C22" s="5" t="s">
        <v>676</v>
      </c>
      <c r="D22" s="5" t="s">
        <v>677</v>
      </c>
      <c r="E22" s="5" t="s">
        <v>678</v>
      </c>
      <c r="F22" s="11">
        <v>4.5</v>
      </c>
      <c r="G22" t="s">
        <v>960</v>
      </c>
      <c r="H22" s="12">
        <f t="shared" si="0"/>
        <v>4.5</v>
      </c>
      <c r="I22" s="16" t="s">
        <v>961</v>
      </c>
      <c r="J22" t="s">
        <v>921</v>
      </c>
      <c r="K22" s="7" t="str">
        <f t="shared" si="1"/>
        <v>N5</v>
      </c>
    </row>
    <row r="23" spans="1:11" s="6" customFormat="1" ht="28" customHeight="1">
      <c r="A23" s="4">
        <v>22</v>
      </c>
      <c r="B23" s="5" t="s">
        <v>11</v>
      </c>
      <c r="C23" s="5" t="s">
        <v>493</v>
      </c>
      <c r="D23" s="5" t="s">
        <v>494</v>
      </c>
      <c r="E23" s="5" t="s">
        <v>495</v>
      </c>
      <c r="F23" s="11">
        <v>5</v>
      </c>
      <c r="G23" t="s">
        <v>962</v>
      </c>
      <c r="H23" s="12">
        <f t="shared" si="0"/>
        <v>5</v>
      </c>
      <c r="I23" s="16" t="s">
        <v>963</v>
      </c>
      <c r="J23" t="s">
        <v>921</v>
      </c>
      <c r="K23" s="7" t="str">
        <f t="shared" si="1"/>
        <v>E5</v>
      </c>
    </row>
    <row r="24" spans="1:11" s="6" customFormat="1" ht="28" customHeight="1">
      <c r="A24" s="4">
        <v>23</v>
      </c>
      <c r="B24" s="5" t="s">
        <v>11</v>
      </c>
      <c r="C24" s="5" t="s">
        <v>856</v>
      </c>
      <c r="D24" s="5" t="s">
        <v>857</v>
      </c>
      <c r="E24" s="5" t="s">
        <v>858</v>
      </c>
      <c r="F24" s="11">
        <v>4</v>
      </c>
      <c r="G24" t="s">
        <v>964</v>
      </c>
      <c r="H24" s="12">
        <f t="shared" si="0"/>
        <v>4</v>
      </c>
      <c r="I24" s="16" t="s">
        <v>965</v>
      </c>
      <c r="J24" t="s">
        <v>921</v>
      </c>
      <c r="K24" s="7" t="str">
        <f t="shared" si="1"/>
        <v>O5</v>
      </c>
    </row>
    <row r="25" spans="1:11" s="6" customFormat="1" ht="28" customHeight="1">
      <c r="A25" s="4">
        <v>24</v>
      </c>
      <c r="B25" s="5" t="s">
        <v>11</v>
      </c>
      <c r="C25" s="5" t="s">
        <v>133</v>
      </c>
      <c r="D25" s="5" t="s">
        <v>134</v>
      </c>
      <c r="E25" s="5" t="s">
        <v>135</v>
      </c>
      <c r="F25" s="11">
        <v>4</v>
      </c>
      <c r="G25" t="s">
        <v>966</v>
      </c>
      <c r="H25" s="12">
        <f t="shared" si="0"/>
        <v>4</v>
      </c>
      <c r="I25" s="16" t="s">
        <v>967</v>
      </c>
      <c r="J25" t="s">
        <v>921</v>
      </c>
      <c r="K25" s="7" t="str">
        <f t="shared" si="1"/>
        <v>A5</v>
      </c>
    </row>
    <row r="26" spans="1:11" s="6" customFormat="1" ht="28" customHeight="1">
      <c r="A26" s="4">
        <v>25</v>
      </c>
      <c r="B26" s="5" t="s">
        <v>11</v>
      </c>
      <c r="C26" s="5" t="s">
        <v>319</v>
      </c>
      <c r="D26" s="5" t="s">
        <v>320</v>
      </c>
      <c r="E26" s="5" t="s">
        <v>321</v>
      </c>
      <c r="F26" s="11">
        <v>1.5</v>
      </c>
      <c r="G26" t="s">
        <v>968</v>
      </c>
      <c r="H26" s="12">
        <f t="shared" si="0"/>
        <v>1.5</v>
      </c>
      <c r="I26" s="16" t="s">
        <v>969</v>
      </c>
      <c r="J26" t="s">
        <v>921</v>
      </c>
      <c r="K26" s="7" t="str">
        <f t="shared" si="1"/>
        <v>C5</v>
      </c>
    </row>
    <row r="27" spans="1:11" s="6" customFormat="1" ht="28" customHeight="1">
      <c r="A27" s="4">
        <v>26</v>
      </c>
      <c r="B27" s="5" t="s">
        <v>11</v>
      </c>
      <c r="C27" s="5" t="s">
        <v>703</v>
      </c>
      <c r="D27" s="5" t="s">
        <v>704</v>
      </c>
      <c r="E27" s="5" t="s">
        <v>705</v>
      </c>
      <c r="F27" s="11">
        <v>1.25</v>
      </c>
      <c r="G27" t="s">
        <v>970</v>
      </c>
      <c r="H27" s="12">
        <f t="shared" si="0"/>
        <v>1.25</v>
      </c>
      <c r="I27" s="16" t="s">
        <v>971</v>
      </c>
      <c r="J27" t="s">
        <v>921</v>
      </c>
      <c r="K27" s="7" t="str">
        <f t="shared" si="1"/>
        <v>N6</v>
      </c>
    </row>
    <row r="28" spans="1:11" s="6" customFormat="1" ht="28" customHeight="1">
      <c r="A28" s="4">
        <v>27</v>
      </c>
      <c r="B28" s="5" t="s">
        <v>11</v>
      </c>
      <c r="C28" s="5" t="s">
        <v>523</v>
      </c>
      <c r="D28" s="5" t="s">
        <v>524</v>
      </c>
      <c r="E28" s="5" t="s">
        <v>525</v>
      </c>
      <c r="F28" s="11">
        <v>3.5</v>
      </c>
      <c r="G28" t="s">
        <v>972</v>
      </c>
      <c r="H28" s="12">
        <f t="shared" si="0"/>
        <v>3.5</v>
      </c>
      <c r="I28" s="16" t="s">
        <v>973</v>
      </c>
      <c r="J28" t="s">
        <v>921</v>
      </c>
      <c r="K28" s="7" t="str">
        <f t="shared" si="1"/>
        <v>E6</v>
      </c>
    </row>
    <row r="29" spans="1:11" s="6" customFormat="1" ht="28" customHeight="1">
      <c r="A29" s="4">
        <v>28</v>
      </c>
      <c r="B29" s="5" t="s">
        <v>11</v>
      </c>
      <c r="C29" s="5" t="s">
        <v>883</v>
      </c>
      <c r="D29" s="5" t="s">
        <v>884</v>
      </c>
      <c r="E29" s="5" t="s">
        <v>885</v>
      </c>
      <c r="F29" s="11">
        <v>4.5</v>
      </c>
      <c r="G29" t="s">
        <v>974</v>
      </c>
      <c r="H29" s="12">
        <f t="shared" si="0"/>
        <v>4.5</v>
      </c>
      <c r="I29" s="16" t="s">
        <v>975</v>
      </c>
      <c r="J29" t="s">
        <v>921</v>
      </c>
      <c r="K29" s="7" t="str">
        <f t="shared" si="1"/>
        <v>O6</v>
      </c>
    </row>
    <row r="30" spans="1:11" s="6" customFormat="1" ht="28" customHeight="1">
      <c r="A30" s="4">
        <v>29</v>
      </c>
      <c r="B30" s="5" t="s">
        <v>11</v>
      </c>
      <c r="C30" s="5" t="s">
        <v>163</v>
      </c>
      <c r="D30" s="5" t="s">
        <v>164</v>
      </c>
      <c r="E30" s="5" t="s">
        <v>165</v>
      </c>
      <c r="F30" s="11">
        <v>3.75</v>
      </c>
      <c r="G30" t="s">
        <v>976</v>
      </c>
      <c r="H30" s="12">
        <f t="shared" si="0"/>
        <v>3.75</v>
      </c>
      <c r="I30" s="16" t="s">
        <v>977</v>
      </c>
      <c r="J30" t="s">
        <v>921</v>
      </c>
      <c r="K30" s="7" t="str">
        <f t="shared" si="1"/>
        <v>A6</v>
      </c>
    </row>
    <row r="31" spans="1:11" s="6" customFormat="1" ht="28" customHeight="1">
      <c r="A31" s="4">
        <v>30</v>
      </c>
      <c r="B31" s="5" t="s">
        <v>11</v>
      </c>
      <c r="C31" s="5" t="s">
        <v>343</v>
      </c>
      <c r="D31" s="5" t="s">
        <v>344</v>
      </c>
      <c r="E31" s="5" t="s">
        <v>345</v>
      </c>
      <c r="F31" s="11">
        <v>4.5</v>
      </c>
      <c r="G31" t="s">
        <v>978</v>
      </c>
      <c r="H31" s="12">
        <f t="shared" si="0"/>
        <v>4.5</v>
      </c>
      <c r="I31" s="16" t="s">
        <v>979</v>
      </c>
      <c r="J31" t="s">
        <v>921</v>
      </c>
      <c r="K31" s="7" t="str">
        <f t="shared" si="1"/>
        <v>C6</v>
      </c>
    </row>
    <row r="32" spans="1:11" s="6" customFormat="1" ht="28" customHeight="1">
      <c r="A32" s="4">
        <v>31</v>
      </c>
      <c r="B32" s="5" t="s">
        <v>11</v>
      </c>
      <c r="C32" s="5" t="s">
        <v>556</v>
      </c>
      <c r="D32" s="5" t="s">
        <v>557</v>
      </c>
      <c r="E32" s="5" t="s">
        <v>558</v>
      </c>
      <c r="F32" s="11">
        <v>4.5</v>
      </c>
      <c r="G32" t="s">
        <v>980</v>
      </c>
      <c r="H32" s="12">
        <f t="shared" si="0"/>
        <v>4.5</v>
      </c>
      <c r="I32" s="16" t="s">
        <v>920</v>
      </c>
      <c r="J32" t="s">
        <v>921</v>
      </c>
      <c r="K32" s="7" t="str">
        <f t="shared" si="1"/>
        <v>N1</v>
      </c>
    </row>
    <row r="33" spans="1:11" s="6" customFormat="1" ht="28" customHeight="1">
      <c r="A33" s="4">
        <v>32</v>
      </c>
      <c r="B33" s="5" t="s">
        <v>11</v>
      </c>
      <c r="C33" s="5" t="s">
        <v>379</v>
      </c>
      <c r="D33" s="5" t="s">
        <v>380</v>
      </c>
      <c r="E33" s="5" t="s">
        <v>381</v>
      </c>
      <c r="F33" s="11">
        <v>2</v>
      </c>
      <c r="G33" t="s">
        <v>981</v>
      </c>
      <c r="H33" s="12">
        <f t="shared" si="0"/>
        <v>2</v>
      </c>
      <c r="I33" s="16" t="s">
        <v>923</v>
      </c>
      <c r="J33" t="s">
        <v>921</v>
      </c>
      <c r="K33" s="7" t="str">
        <f t="shared" si="1"/>
        <v>E1</v>
      </c>
    </row>
    <row r="34" spans="1:11" s="6" customFormat="1" ht="28" customHeight="1">
      <c r="A34" s="4">
        <v>33</v>
      </c>
      <c r="B34" s="5" t="s">
        <v>11</v>
      </c>
      <c r="C34" s="5" t="s">
        <v>736</v>
      </c>
      <c r="D34" s="5" t="s">
        <v>737</v>
      </c>
      <c r="E34" s="5" t="s">
        <v>738</v>
      </c>
      <c r="F34" s="11">
        <v>4.5</v>
      </c>
      <c r="G34" t="s">
        <v>924</v>
      </c>
      <c r="H34" s="12">
        <f t="shared" si="0"/>
        <v>4.5</v>
      </c>
      <c r="I34" s="16" t="s">
        <v>925</v>
      </c>
      <c r="J34" t="s">
        <v>921</v>
      </c>
      <c r="K34" s="7" t="str">
        <f t="shared" si="1"/>
        <v>O1</v>
      </c>
    </row>
    <row r="35" spans="1:11" s="6" customFormat="1" ht="28" customHeight="1">
      <c r="A35" s="4">
        <v>34</v>
      </c>
      <c r="B35" s="5" t="s">
        <v>11</v>
      </c>
      <c r="C35" s="5" t="s">
        <v>15</v>
      </c>
      <c r="D35" s="5" t="s">
        <v>16</v>
      </c>
      <c r="E35" s="5" t="s">
        <v>17</v>
      </c>
      <c r="F35" s="11">
        <v>1.5</v>
      </c>
      <c r="G35" t="s">
        <v>982</v>
      </c>
      <c r="H35" s="12">
        <f t="shared" si="0"/>
        <v>1.5</v>
      </c>
      <c r="I35" s="16" t="s">
        <v>927</v>
      </c>
      <c r="J35" t="s">
        <v>921</v>
      </c>
      <c r="K35" s="7" t="str">
        <f t="shared" si="1"/>
        <v>A1</v>
      </c>
    </row>
    <row r="36" spans="1:11" s="6" customFormat="1" ht="28" customHeight="1">
      <c r="A36" s="4">
        <v>35</v>
      </c>
      <c r="B36" s="5" t="s">
        <v>11</v>
      </c>
      <c r="C36" s="5" t="s">
        <v>196</v>
      </c>
      <c r="D36" s="5" t="s">
        <v>197</v>
      </c>
      <c r="E36" s="5" t="s">
        <v>198</v>
      </c>
      <c r="F36" s="11">
        <v>4</v>
      </c>
      <c r="G36" t="s">
        <v>983</v>
      </c>
      <c r="H36" s="12">
        <f t="shared" si="0"/>
        <v>4</v>
      </c>
      <c r="I36" s="16" t="s">
        <v>929</v>
      </c>
      <c r="J36" t="s">
        <v>921</v>
      </c>
      <c r="K36" s="7" t="str">
        <f t="shared" si="1"/>
        <v>C1</v>
      </c>
    </row>
    <row r="37" spans="1:11" s="6" customFormat="1" ht="28" customHeight="1">
      <c r="A37" s="4">
        <v>36</v>
      </c>
      <c r="B37" s="5" t="s">
        <v>11</v>
      </c>
      <c r="C37" s="5" t="s">
        <v>586</v>
      </c>
      <c r="D37" s="5" t="s">
        <v>587</v>
      </c>
      <c r="E37" s="5" t="s">
        <v>588</v>
      </c>
      <c r="F37" s="11">
        <v>4</v>
      </c>
      <c r="G37" t="s">
        <v>930</v>
      </c>
      <c r="H37" s="12">
        <f t="shared" si="0"/>
        <v>4</v>
      </c>
      <c r="I37" s="16" t="s">
        <v>931</v>
      </c>
      <c r="J37" t="s">
        <v>921</v>
      </c>
      <c r="K37" s="7" t="str">
        <f t="shared" si="1"/>
        <v>N2</v>
      </c>
    </row>
    <row r="38" spans="1:11" s="6" customFormat="1" ht="28" customHeight="1">
      <c r="A38" s="4">
        <v>37</v>
      </c>
      <c r="B38" s="5" t="s">
        <v>11</v>
      </c>
      <c r="C38" s="5" t="s">
        <v>406</v>
      </c>
      <c r="D38" s="5" t="s">
        <v>407</v>
      </c>
      <c r="E38" s="5" t="s">
        <v>408</v>
      </c>
      <c r="F38" s="11">
        <v>2</v>
      </c>
      <c r="G38" t="s">
        <v>984</v>
      </c>
      <c r="H38" s="12">
        <f t="shared" si="0"/>
        <v>2</v>
      </c>
      <c r="I38" s="16" t="s">
        <v>933</v>
      </c>
      <c r="J38" t="s">
        <v>921</v>
      </c>
      <c r="K38" s="7" t="str">
        <f t="shared" si="1"/>
        <v>E2</v>
      </c>
    </row>
    <row r="39" spans="1:11" s="6" customFormat="1" ht="28" customHeight="1">
      <c r="A39" s="4">
        <v>38</v>
      </c>
      <c r="B39" s="5" t="s">
        <v>11</v>
      </c>
      <c r="C39" s="5" t="s">
        <v>769</v>
      </c>
      <c r="D39" s="5" t="s">
        <v>770</v>
      </c>
      <c r="E39" s="5" t="s">
        <v>771</v>
      </c>
      <c r="F39" s="11">
        <v>4.25</v>
      </c>
      <c r="G39" t="s">
        <v>934</v>
      </c>
      <c r="H39" s="12">
        <f t="shared" si="0"/>
        <v>4.25</v>
      </c>
      <c r="I39" s="16" t="s">
        <v>935</v>
      </c>
      <c r="J39" t="s">
        <v>921</v>
      </c>
      <c r="K39" s="7" t="str">
        <f t="shared" si="1"/>
        <v>O2</v>
      </c>
    </row>
    <row r="40" spans="1:11" s="6" customFormat="1" ht="28" customHeight="1">
      <c r="A40" s="4">
        <v>39</v>
      </c>
      <c r="B40" s="5" t="s">
        <v>11</v>
      </c>
      <c r="C40" s="5" t="s">
        <v>46</v>
      </c>
      <c r="D40" s="5" t="s">
        <v>47</v>
      </c>
      <c r="E40" s="5" t="s">
        <v>48</v>
      </c>
      <c r="F40" s="11">
        <v>1.5</v>
      </c>
      <c r="G40" t="s">
        <v>985</v>
      </c>
      <c r="H40" s="12">
        <f t="shared" si="0"/>
        <v>1.5</v>
      </c>
      <c r="I40" s="16" t="s">
        <v>937</v>
      </c>
      <c r="J40" t="s">
        <v>921</v>
      </c>
      <c r="K40" s="7" t="str">
        <f t="shared" si="1"/>
        <v>A2</v>
      </c>
    </row>
    <row r="41" spans="1:11" s="6" customFormat="1" ht="28" customHeight="1">
      <c r="A41" s="4">
        <v>40</v>
      </c>
      <c r="B41" s="5" t="s">
        <v>11</v>
      </c>
      <c r="C41" s="5" t="s">
        <v>223</v>
      </c>
      <c r="D41" s="5" t="s">
        <v>224</v>
      </c>
      <c r="E41" s="5" t="s">
        <v>225</v>
      </c>
      <c r="F41" s="11">
        <v>1</v>
      </c>
      <c r="G41" t="s">
        <v>938</v>
      </c>
      <c r="H41" s="12">
        <f t="shared" si="0"/>
        <v>1</v>
      </c>
      <c r="I41" s="16" t="s">
        <v>939</v>
      </c>
      <c r="J41" t="s">
        <v>921</v>
      </c>
      <c r="K41" s="7" t="str">
        <f t="shared" si="1"/>
        <v>C2</v>
      </c>
    </row>
    <row r="42" spans="1:11" s="6" customFormat="1" ht="28" customHeight="1">
      <c r="A42" s="4">
        <v>41</v>
      </c>
      <c r="B42" s="5" t="s">
        <v>11</v>
      </c>
      <c r="C42" s="5" t="s">
        <v>616</v>
      </c>
      <c r="D42" s="5" t="s">
        <v>617</v>
      </c>
      <c r="E42" s="5" t="s">
        <v>618</v>
      </c>
      <c r="F42" s="11">
        <v>3</v>
      </c>
      <c r="G42" t="s">
        <v>986</v>
      </c>
      <c r="H42" s="12">
        <f t="shared" si="0"/>
        <v>3</v>
      </c>
      <c r="I42" s="16" t="s">
        <v>941</v>
      </c>
      <c r="J42" t="s">
        <v>921</v>
      </c>
      <c r="K42" s="7" t="str">
        <f t="shared" si="1"/>
        <v>N3</v>
      </c>
    </row>
    <row r="43" spans="1:11" s="6" customFormat="1" ht="28" customHeight="1">
      <c r="A43" s="4">
        <v>42</v>
      </c>
      <c r="B43" s="5" t="s">
        <v>11</v>
      </c>
      <c r="C43" s="5" t="s">
        <v>436</v>
      </c>
      <c r="D43" s="5" t="s">
        <v>437</v>
      </c>
      <c r="E43" s="5" t="s">
        <v>438</v>
      </c>
      <c r="F43" s="11">
        <v>3.5</v>
      </c>
      <c r="G43" t="s">
        <v>942</v>
      </c>
      <c r="H43" s="12">
        <f t="shared" si="0"/>
        <v>3.5</v>
      </c>
      <c r="I43" s="16" t="s">
        <v>943</v>
      </c>
      <c r="J43" t="s">
        <v>921</v>
      </c>
      <c r="K43" s="7" t="str">
        <f t="shared" si="1"/>
        <v>E3</v>
      </c>
    </row>
    <row r="44" spans="1:11" s="6" customFormat="1" ht="28" customHeight="1">
      <c r="A44" s="4">
        <v>43</v>
      </c>
      <c r="B44" s="5" t="s">
        <v>11</v>
      </c>
      <c r="C44" s="5" t="s">
        <v>796</v>
      </c>
      <c r="D44" s="5" t="s">
        <v>797</v>
      </c>
      <c r="E44" s="5" t="s">
        <v>798</v>
      </c>
      <c r="F44" s="11">
        <v>3.5</v>
      </c>
      <c r="G44" t="s">
        <v>944</v>
      </c>
      <c r="H44" s="12">
        <f t="shared" si="0"/>
        <v>3.5</v>
      </c>
      <c r="I44" s="16" t="s">
        <v>945</v>
      </c>
      <c r="J44" t="s">
        <v>921</v>
      </c>
      <c r="K44" s="7" t="str">
        <f t="shared" si="1"/>
        <v>O3</v>
      </c>
    </row>
    <row r="45" spans="1:11" s="6" customFormat="1" ht="28" customHeight="1">
      <c r="A45" s="4">
        <v>44</v>
      </c>
      <c r="B45" s="5" t="s">
        <v>11</v>
      </c>
      <c r="C45" s="5" t="s">
        <v>82</v>
      </c>
      <c r="D45" s="5" t="s">
        <v>83</v>
      </c>
      <c r="E45" s="5" t="s">
        <v>84</v>
      </c>
      <c r="F45" s="11">
        <v>3.75</v>
      </c>
      <c r="G45" t="s">
        <v>987</v>
      </c>
      <c r="H45" s="12">
        <f t="shared" si="0"/>
        <v>3.75</v>
      </c>
      <c r="I45" s="16" t="s">
        <v>947</v>
      </c>
      <c r="J45" t="s">
        <v>921</v>
      </c>
      <c r="K45" s="7" t="str">
        <f t="shared" si="1"/>
        <v>A3</v>
      </c>
    </row>
    <row r="46" spans="1:11" s="6" customFormat="1" ht="28" customHeight="1">
      <c r="A46" s="4">
        <v>45</v>
      </c>
      <c r="B46" s="5" t="s">
        <v>11</v>
      </c>
      <c r="C46" s="5" t="s">
        <v>253</v>
      </c>
      <c r="D46" s="5" t="s">
        <v>254</v>
      </c>
      <c r="E46" s="5" t="s">
        <v>255</v>
      </c>
      <c r="F46" s="11">
        <v>2</v>
      </c>
      <c r="G46" t="s">
        <v>948</v>
      </c>
      <c r="H46" s="12">
        <f t="shared" si="0"/>
        <v>2</v>
      </c>
      <c r="I46" s="16" t="s">
        <v>949</v>
      </c>
      <c r="J46" t="s">
        <v>921</v>
      </c>
      <c r="K46" s="7" t="str">
        <f t="shared" si="1"/>
        <v>C3</v>
      </c>
    </row>
    <row r="47" spans="1:11" s="6" customFormat="1" ht="28" customHeight="1">
      <c r="A47" s="4">
        <v>46</v>
      </c>
      <c r="B47" s="5" t="s">
        <v>11</v>
      </c>
      <c r="C47" s="5" t="s">
        <v>655</v>
      </c>
      <c r="D47" s="5" t="s">
        <v>656</v>
      </c>
      <c r="E47" s="5" t="s">
        <v>657</v>
      </c>
      <c r="F47" s="11">
        <v>5</v>
      </c>
      <c r="G47" t="s">
        <v>988</v>
      </c>
      <c r="H47" s="12">
        <f t="shared" si="0"/>
        <v>5</v>
      </c>
      <c r="I47" s="16" t="s">
        <v>951</v>
      </c>
      <c r="J47" t="s">
        <v>921</v>
      </c>
      <c r="K47" s="7" t="str">
        <f t="shared" si="1"/>
        <v>N4</v>
      </c>
    </row>
    <row r="48" spans="1:11" s="6" customFormat="1" ht="28" customHeight="1">
      <c r="A48" s="4">
        <v>47</v>
      </c>
      <c r="B48" s="5" t="s">
        <v>11</v>
      </c>
      <c r="C48" s="5" t="s">
        <v>466</v>
      </c>
      <c r="D48" s="5" t="s">
        <v>467</v>
      </c>
      <c r="E48" s="5" t="s">
        <v>468</v>
      </c>
      <c r="F48" s="11">
        <v>4</v>
      </c>
      <c r="G48" t="s">
        <v>989</v>
      </c>
      <c r="H48" s="12">
        <f t="shared" si="0"/>
        <v>4</v>
      </c>
      <c r="I48" s="16" t="s">
        <v>953</v>
      </c>
      <c r="J48" t="s">
        <v>921</v>
      </c>
      <c r="K48" s="7" t="str">
        <f t="shared" si="1"/>
        <v>E4</v>
      </c>
    </row>
    <row r="49" spans="1:11" s="6" customFormat="1" ht="28" customHeight="1">
      <c r="A49" s="4">
        <v>48</v>
      </c>
      <c r="B49" s="5" t="s">
        <v>11</v>
      </c>
      <c r="C49" s="5" t="s">
        <v>826</v>
      </c>
      <c r="D49" s="5" t="s">
        <v>827</v>
      </c>
      <c r="E49" s="5" t="s">
        <v>828</v>
      </c>
      <c r="F49" s="11">
        <v>4</v>
      </c>
      <c r="G49" t="s">
        <v>954</v>
      </c>
      <c r="H49" s="12">
        <f t="shared" si="0"/>
        <v>4</v>
      </c>
      <c r="I49" s="16" t="s">
        <v>955</v>
      </c>
      <c r="J49" t="s">
        <v>921</v>
      </c>
      <c r="K49" s="7" t="str">
        <f t="shared" si="1"/>
        <v>O4</v>
      </c>
    </row>
    <row r="50" spans="1:11" s="6" customFormat="1" ht="28" customHeight="1">
      <c r="A50" s="4">
        <v>49</v>
      </c>
      <c r="B50" s="5" t="s">
        <v>11</v>
      </c>
      <c r="C50" s="5" t="s">
        <v>106</v>
      </c>
      <c r="D50" s="5" t="s">
        <v>107</v>
      </c>
      <c r="E50" s="5" t="s">
        <v>108</v>
      </c>
      <c r="F50" s="11">
        <v>2</v>
      </c>
      <c r="G50" t="s">
        <v>990</v>
      </c>
      <c r="H50" s="12">
        <f t="shared" si="0"/>
        <v>2</v>
      </c>
      <c r="I50" s="16" t="s">
        <v>957</v>
      </c>
      <c r="J50" t="s">
        <v>921</v>
      </c>
      <c r="K50" s="7" t="str">
        <f t="shared" si="1"/>
        <v>A4</v>
      </c>
    </row>
    <row r="51" spans="1:11" s="6" customFormat="1" ht="28" customHeight="1">
      <c r="A51" s="4">
        <v>50</v>
      </c>
      <c r="B51" s="5" t="s">
        <v>11</v>
      </c>
      <c r="C51" s="5" t="s">
        <v>286</v>
      </c>
      <c r="D51" s="5" t="s">
        <v>287</v>
      </c>
      <c r="E51" s="5" t="s">
        <v>288</v>
      </c>
      <c r="F51" s="11">
        <v>5</v>
      </c>
      <c r="G51" t="s">
        <v>958</v>
      </c>
      <c r="H51" s="12">
        <f t="shared" si="0"/>
        <v>5</v>
      </c>
      <c r="I51" s="16" t="s">
        <v>959</v>
      </c>
      <c r="J51" t="s">
        <v>921</v>
      </c>
      <c r="K51" s="7" t="str">
        <f t="shared" si="1"/>
        <v>C4</v>
      </c>
    </row>
    <row r="52" spans="1:11" s="6" customFormat="1" ht="28" customHeight="1">
      <c r="A52" s="4">
        <v>51</v>
      </c>
      <c r="B52" s="5" t="s">
        <v>11</v>
      </c>
      <c r="C52" s="5" t="s">
        <v>679</v>
      </c>
      <c r="D52" s="5" t="s">
        <v>680</v>
      </c>
      <c r="E52" s="5" t="s">
        <v>681</v>
      </c>
      <c r="F52" s="11">
        <v>4</v>
      </c>
      <c r="G52" t="s">
        <v>991</v>
      </c>
      <c r="H52" s="12">
        <f t="shared" si="0"/>
        <v>4</v>
      </c>
      <c r="I52" s="16" t="s">
        <v>961</v>
      </c>
      <c r="J52" t="s">
        <v>921</v>
      </c>
      <c r="K52" s="7" t="str">
        <f t="shared" si="1"/>
        <v>N5</v>
      </c>
    </row>
    <row r="53" spans="1:11" s="6" customFormat="1" ht="28" customHeight="1">
      <c r="A53" s="4">
        <v>52</v>
      </c>
      <c r="B53" s="5" t="s">
        <v>11</v>
      </c>
      <c r="C53" s="5" t="s">
        <v>496</v>
      </c>
      <c r="D53" s="5" t="s">
        <v>497</v>
      </c>
      <c r="E53" s="5" t="s">
        <v>498</v>
      </c>
      <c r="F53" s="11">
        <v>4.5</v>
      </c>
      <c r="G53" t="s">
        <v>962</v>
      </c>
      <c r="H53" s="12">
        <f t="shared" si="0"/>
        <v>4.5</v>
      </c>
      <c r="I53" s="16" t="s">
        <v>963</v>
      </c>
      <c r="J53" t="s">
        <v>921</v>
      </c>
      <c r="K53" s="7" t="str">
        <f t="shared" si="1"/>
        <v>E5</v>
      </c>
    </row>
    <row r="54" spans="1:11" s="6" customFormat="1" ht="28" customHeight="1">
      <c r="A54" s="4">
        <v>53</v>
      </c>
      <c r="B54" s="5" t="s">
        <v>11</v>
      </c>
      <c r="C54" s="5" t="s">
        <v>853</v>
      </c>
      <c r="D54" s="5" t="s">
        <v>854</v>
      </c>
      <c r="E54" s="5" t="s">
        <v>855</v>
      </c>
      <c r="F54" s="11">
        <v>4</v>
      </c>
      <c r="G54" t="s">
        <v>992</v>
      </c>
      <c r="H54" s="12">
        <f t="shared" si="0"/>
        <v>4</v>
      </c>
      <c r="I54" s="16" t="s">
        <v>965</v>
      </c>
      <c r="J54" t="s">
        <v>921</v>
      </c>
      <c r="K54" s="7" t="str">
        <f t="shared" si="1"/>
        <v>O5</v>
      </c>
    </row>
    <row r="55" spans="1:11" s="6" customFormat="1" ht="28" customHeight="1">
      <c r="A55" s="4">
        <v>54</v>
      </c>
      <c r="B55" s="5" t="s">
        <v>11</v>
      </c>
      <c r="C55" s="5" t="s">
        <v>136</v>
      </c>
      <c r="D55" s="5" t="s">
        <v>137</v>
      </c>
      <c r="E55" s="5" t="s">
        <v>138</v>
      </c>
      <c r="F55" s="11">
        <v>4</v>
      </c>
      <c r="G55" t="s">
        <v>993</v>
      </c>
      <c r="H55" s="12">
        <f t="shared" si="0"/>
        <v>4</v>
      </c>
      <c r="I55" s="16" t="s">
        <v>967</v>
      </c>
      <c r="J55" t="s">
        <v>921</v>
      </c>
      <c r="K55" s="7" t="str">
        <f t="shared" si="1"/>
        <v>A5</v>
      </c>
    </row>
    <row r="56" spans="1:11" s="6" customFormat="1" ht="28" customHeight="1">
      <c r="A56" s="4">
        <v>55</v>
      </c>
      <c r="B56" s="5" t="s">
        <v>11</v>
      </c>
      <c r="C56" s="5" t="s">
        <v>313</v>
      </c>
      <c r="D56" s="5" t="s">
        <v>314</v>
      </c>
      <c r="E56" s="5" t="s">
        <v>315</v>
      </c>
      <c r="F56" s="11">
        <v>2</v>
      </c>
      <c r="G56" t="s">
        <v>994</v>
      </c>
      <c r="H56" s="12">
        <f t="shared" si="0"/>
        <v>2</v>
      </c>
      <c r="I56" s="16" t="s">
        <v>969</v>
      </c>
      <c r="J56" t="s">
        <v>921</v>
      </c>
      <c r="K56" s="7" t="str">
        <f t="shared" si="1"/>
        <v>C5</v>
      </c>
    </row>
    <row r="57" spans="1:11" s="6" customFormat="1" ht="28" customHeight="1">
      <c r="A57" s="4">
        <v>56</v>
      </c>
      <c r="B57" s="5" t="s">
        <v>11</v>
      </c>
      <c r="C57" s="5" t="s">
        <v>706</v>
      </c>
      <c r="D57" s="5" t="s">
        <v>707</v>
      </c>
      <c r="E57" s="5" t="s">
        <v>708</v>
      </c>
      <c r="F57" s="11">
        <v>2</v>
      </c>
      <c r="G57" t="s">
        <v>970</v>
      </c>
      <c r="H57" s="12">
        <f t="shared" si="0"/>
        <v>2</v>
      </c>
      <c r="I57" s="16" t="s">
        <v>1322</v>
      </c>
      <c r="J57" t="s">
        <v>921</v>
      </c>
      <c r="K57" s="7" t="str">
        <f t="shared" si="1"/>
        <v>N6</v>
      </c>
    </row>
    <row r="58" spans="1:11" s="6" customFormat="1" ht="28" customHeight="1">
      <c r="A58" s="4">
        <v>57</v>
      </c>
      <c r="B58" s="5" t="s">
        <v>11</v>
      </c>
      <c r="C58" s="5" t="s">
        <v>526</v>
      </c>
      <c r="D58" s="5" t="s">
        <v>527</v>
      </c>
      <c r="E58" s="5" t="s">
        <v>528</v>
      </c>
      <c r="F58" s="11">
        <v>3.5</v>
      </c>
      <c r="G58" t="s">
        <v>972</v>
      </c>
      <c r="H58" s="12">
        <f t="shared" si="0"/>
        <v>3.5</v>
      </c>
      <c r="I58" s="16" t="s">
        <v>1323</v>
      </c>
      <c r="J58" t="s">
        <v>921</v>
      </c>
      <c r="K58" s="7" t="str">
        <f t="shared" si="1"/>
        <v>E6</v>
      </c>
    </row>
    <row r="59" spans="1:11" s="6" customFormat="1" ht="28" customHeight="1">
      <c r="A59" s="4">
        <v>58</v>
      </c>
      <c r="B59" s="5" t="s">
        <v>11</v>
      </c>
      <c r="C59" s="5" t="s">
        <v>886</v>
      </c>
      <c r="D59" s="5" t="s">
        <v>887</v>
      </c>
      <c r="E59" s="5" t="s">
        <v>888</v>
      </c>
      <c r="F59" s="11">
        <v>4</v>
      </c>
      <c r="G59" t="s">
        <v>995</v>
      </c>
      <c r="H59" s="12">
        <f t="shared" si="0"/>
        <v>4</v>
      </c>
      <c r="I59" s="16" t="s">
        <v>1324</v>
      </c>
      <c r="J59" t="s">
        <v>921</v>
      </c>
      <c r="K59" s="7" t="str">
        <f t="shared" si="1"/>
        <v>O6</v>
      </c>
    </row>
    <row r="60" spans="1:11" s="6" customFormat="1" ht="28" customHeight="1">
      <c r="A60" s="4">
        <v>59</v>
      </c>
      <c r="B60" s="5" t="s">
        <v>11</v>
      </c>
      <c r="C60" s="5" t="s">
        <v>166</v>
      </c>
      <c r="D60" s="5" t="s">
        <v>167</v>
      </c>
      <c r="E60" s="5" t="s">
        <v>168</v>
      </c>
      <c r="F60" s="11">
        <v>2</v>
      </c>
      <c r="G60" t="s">
        <v>976</v>
      </c>
      <c r="H60" s="12">
        <f t="shared" si="0"/>
        <v>2</v>
      </c>
      <c r="I60" s="16" t="s">
        <v>977</v>
      </c>
      <c r="J60" t="s">
        <v>921</v>
      </c>
      <c r="K60" s="7" t="str">
        <f t="shared" si="1"/>
        <v>A6</v>
      </c>
    </row>
    <row r="61" spans="1:11" s="6" customFormat="1" ht="28" customHeight="1">
      <c r="A61" s="4">
        <v>60</v>
      </c>
      <c r="B61" s="5" t="s">
        <v>11</v>
      </c>
      <c r="C61" s="5" t="s">
        <v>346</v>
      </c>
      <c r="D61" s="5" t="s">
        <v>347</v>
      </c>
      <c r="E61" s="5" t="s">
        <v>348</v>
      </c>
      <c r="F61" s="11">
        <v>4.5</v>
      </c>
      <c r="G61" t="s">
        <v>996</v>
      </c>
      <c r="H61" s="12">
        <f t="shared" si="0"/>
        <v>4.5</v>
      </c>
      <c r="I61" s="16" t="s">
        <v>979</v>
      </c>
      <c r="J61" t="s">
        <v>921</v>
      </c>
      <c r="K61" s="7" t="str">
        <f t="shared" si="1"/>
        <v>C6</v>
      </c>
    </row>
    <row r="62" spans="1:11" s="6" customFormat="1" ht="28" customHeight="1">
      <c r="A62" s="4">
        <v>61</v>
      </c>
      <c r="B62" s="5" t="s">
        <v>11</v>
      </c>
      <c r="C62" s="5" t="s">
        <v>559</v>
      </c>
      <c r="D62" s="5" t="s">
        <v>560</v>
      </c>
      <c r="E62" s="5" t="s">
        <v>561</v>
      </c>
      <c r="F62" s="11">
        <v>4.5</v>
      </c>
      <c r="G62" t="s">
        <v>980</v>
      </c>
      <c r="H62" s="12">
        <f t="shared" si="0"/>
        <v>4.5</v>
      </c>
      <c r="I62" s="16" t="s">
        <v>920</v>
      </c>
      <c r="J62" t="s">
        <v>921</v>
      </c>
      <c r="K62" s="7" t="str">
        <f t="shared" si="1"/>
        <v>N1</v>
      </c>
    </row>
    <row r="63" spans="1:11" s="6" customFormat="1" ht="28" customHeight="1">
      <c r="A63" s="4">
        <v>62</v>
      </c>
      <c r="B63" s="5" t="s">
        <v>11</v>
      </c>
      <c r="C63" s="5" t="s">
        <v>376</v>
      </c>
      <c r="D63" s="5" t="s">
        <v>377</v>
      </c>
      <c r="E63" s="5" t="s">
        <v>378</v>
      </c>
      <c r="F63" s="11">
        <v>1</v>
      </c>
      <c r="G63" t="s">
        <v>997</v>
      </c>
      <c r="H63" s="12">
        <f t="shared" si="0"/>
        <v>1</v>
      </c>
      <c r="I63" s="16" t="s">
        <v>923</v>
      </c>
      <c r="J63" t="s">
        <v>921</v>
      </c>
      <c r="K63" s="7" t="str">
        <f t="shared" si="1"/>
        <v>E1</v>
      </c>
    </row>
    <row r="64" spans="1:11" s="6" customFormat="1" ht="28" customHeight="1">
      <c r="A64" s="4">
        <v>63</v>
      </c>
      <c r="B64" s="5" t="s">
        <v>11</v>
      </c>
      <c r="C64" s="5" t="s">
        <v>739</v>
      </c>
      <c r="D64" s="5" t="s">
        <v>740</v>
      </c>
      <c r="E64" s="5" t="s">
        <v>741</v>
      </c>
      <c r="F64" s="11">
        <v>4</v>
      </c>
      <c r="G64" t="s">
        <v>924</v>
      </c>
      <c r="H64" s="12">
        <f t="shared" si="0"/>
        <v>4</v>
      </c>
      <c r="I64" s="16" t="s">
        <v>925</v>
      </c>
      <c r="J64" t="s">
        <v>921</v>
      </c>
      <c r="K64" s="7" t="str">
        <f t="shared" si="1"/>
        <v>O1</v>
      </c>
    </row>
    <row r="65" spans="1:11" s="6" customFormat="1" ht="28" customHeight="1">
      <c r="A65" s="4">
        <v>64</v>
      </c>
      <c r="B65" s="5" t="s">
        <v>11</v>
      </c>
      <c r="C65" s="5" t="s">
        <v>18</v>
      </c>
      <c r="D65" s="5" t="s">
        <v>19</v>
      </c>
      <c r="E65" s="5" t="s">
        <v>20</v>
      </c>
      <c r="F65" s="11">
        <v>2</v>
      </c>
      <c r="G65" t="s">
        <v>926</v>
      </c>
      <c r="H65" s="12">
        <f t="shared" si="0"/>
        <v>2</v>
      </c>
      <c r="I65" s="16" t="s">
        <v>927</v>
      </c>
      <c r="J65" t="s">
        <v>921</v>
      </c>
      <c r="K65" s="7" t="str">
        <f t="shared" si="1"/>
        <v>A1</v>
      </c>
    </row>
    <row r="66" spans="1:11" s="6" customFormat="1" ht="28" customHeight="1">
      <c r="A66" s="4">
        <v>65</v>
      </c>
      <c r="B66" s="5" t="s">
        <v>11</v>
      </c>
      <c r="C66" s="5" t="s">
        <v>199</v>
      </c>
      <c r="D66" s="5" t="s">
        <v>200</v>
      </c>
      <c r="E66" s="5" t="s">
        <v>201</v>
      </c>
      <c r="F66" s="11">
        <v>4.5</v>
      </c>
      <c r="G66" t="s">
        <v>998</v>
      </c>
      <c r="H66" s="12">
        <f t="shared" ref="H66:H129" si="2">IF(ISBLANK(F66),"",IF($B66="+",F66,6-F66))</f>
        <v>4.5</v>
      </c>
      <c r="I66" s="16" t="s">
        <v>929</v>
      </c>
      <c r="J66" t="s">
        <v>921</v>
      </c>
      <c r="K66" s="7" t="str">
        <f t="shared" ref="K66:K129" si="3">LEFT($C66,FIND("_",$C66)-1)</f>
        <v>C1</v>
      </c>
    </row>
    <row r="67" spans="1:11" s="6" customFormat="1" ht="28" customHeight="1">
      <c r="A67" s="4">
        <v>66</v>
      </c>
      <c r="B67" s="5" t="s">
        <v>11</v>
      </c>
      <c r="C67" s="5" t="s">
        <v>592</v>
      </c>
      <c r="D67" s="5" t="s">
        <v>593</v>
      </c>
      <c r="E67" s="5" t="s">
        <v>594</v>
      </c>
      <c r="F67" s="11">
        <v>4</v>
      </c>
      <c r="G67" t="s">
        <v>999</v>
      </c>
      <c r="H67" s="12">
        <f t="shared" si="2"/>
        <v>4</v>
      </c>
      <c r="I67" s="16" t="s">
        <v>931</v>
      </c>
      <c r="J67" t="s">
        <v>921</v>
      </c>
      <c r="K67" s="7" t="str">
        <f t="shared" si="3"/>
        <v>N2</v>
      </c>
    </row>
    <row r="68" spans="1:11" s="6" customFormat="1" ht="28" customHeight="1">
      <c r="A68" s="4">
        <v>67</v>
      </c>
      <c r="B68" s="5" t="s">
        <v>11</v>
      </c>
      <c r="C68" s="5" t="s">
        <v>409</v>
      </c>
      <c r="D68" s="5" t="s">
        <v>410</v>
      </c>
      <c r="E68" s="5" t="s">
        <v>411</v>
      </c>
      <c r="F68" s="11">
        <v>3</v>
      </c>
      <c r="G68" t="s">
        <v>1000</v>
      </c>
      <c r="H68" s="12">
        <f t="shared" si="2"/>
        <v>3</v>
      </c>
      <c r="I68" s="16" t="s">
        <v>933</v>
      </c>
      <c r="J68" t="s">
        <v>921</v>
      </c>
      <c r="K68" s="7" t="str">
        <f t="shared" si="3"/>
        <v>E2</v>
      </c>
    </row>
    <row r="69" spans="1:11" s="6" customFormat="1" ht="28" customHeight="1">
      <c r="A69" s="4">
        <v>68</v>
      </c>
      <c r="B69" s="5" t="s">
        <v>11</v>
      </c>
      <c r="C69" s="5" t="s">
        <v>766</v>
      </c>
      <c r="D69" s="5" t="s">
        <v>767</v>
      </c>
      <c r="E69" s="5" t="s">
        <v>768</v>
      </c>
      <c r="F69" s="11">
        <v>4</v>
      </c>
      <c r="G69" t="s">
        <v>1001</v>
      </c>
      <c r="H69" s="12">
        <f t="shared" si="2"/>
        <v>4</v>
      </c>
      <c r="I69" s="16" t="s">
        <v>935</v>
      </c>
      <c r="J69" t="s">
        <v>921</v>
      </c>
      <c r="K69" s="7" t="str">
        <f t="shared" si="3"/>
        <v>O2</v>
      </c>
    </row>
    <row r="70" spans="1:11" s="6" customFormat="1" ht="28" customHeight="1">
      <c r="A70" s="4">
        <v>69</v>
      </c>
      <c r="B70" s="5" t="s">
        <v>30</v>
      </c>
      <c r="C70" s="5" t="s">
        <v>61</v>
      </c>
      <c r="D70" s="5" t="s">
        <v>62</v>
      </c>
      <c r="E70" s="5" t="s">
        <v>63</v>
      </c>
      <c r="F70" s="11">
        <v>2</v>
      </c>
      <c r="G70" t="s">
        <v>1002</v>
      </c>
      <c r="H70" s="12">
        <f t="shared" si="2"/>
        <v>4</v>
      </c>
      <c r="I70" s="16" t="s">
        <v>937</v>
      </c>
      <c r="J70" t="s">
        <v>1003</v>
      </c>
      <c r="K70" s="7" t="str">
        <f t="shared" si="3"/>
        <v>A2</v>
      </c>
    </row>
    <row r="71" spans="1:11" s="6" customFormat="1" ht="28" customHeight="1">
      <c r="A71" s="4">
        <v>70</v>
      </c>
      <c r="B71" s="5" t="s">
        <v>11</v>
      </c>
      <c r="C71" s="5" t="s">
        <v>229</v>
      </c>
      <c r="D71" s="5" t="s">
        <v>230</v>
      </c>
      <c r="E71" s="5" t="s">
        <v>231</v>
      </c>
      <c r="F71" s="11">
        <v>3</v>
      </c>
      <c r="G71" t="s">
        <v>1004</v>
      </c>
      <c r="H71" s="12">
        <f t="shared" si="2"/>
        <v>3</v>
      </c>
      <c r="I71" s="16" t="s">
        <v>939</v>
      </c>
      <c r="J71" t="s">
        <v>921</v>
      </c>
      <c r="K71" s="7" t="str">
        <f t="shared" si="3"/>
        <v>C2</v>
      </c>
    </row>
    <row r="72" spans="1:11" s="6" customFormat="1" ht="28" customHeight="1">
      <c r="A72" s="4">
        <v>71</v>
      </c>
      <c r="B72" s="5" t="s">
        <v>11</v>
      </c>
      <c r="C72" s="5" t="s">
        <v>619</v>
      </c>
      <c r="D72" s="5" t="s">
        <v>620</v>
      </c>
      <c r="E72" s="5" t="s">
        <v>621</v>
      </c>
      <c r="F72" s="11"/>
      <c r="G72" t="s">
        <v>940</v>
      </c>
      <c r="H72" s="12" t="str">
        <f t="shared" si="2"/>
        <v/>
      </c>
      <c r="I72" s="16" t="s">
        <v>941</v>
      </c>
      <c r="J72" t="s">
        <v>921</v>
      </c>
      <c r="K72" s="7" t="str">
        <f t="shared" si="3"/>
        <v>N3</v>
      </c>
    </row>
    <row r="73" spans="1:11" s="6" customFormat="1" ht="28" customHeight="1">
      <c r="A73" s="4">
        <v>72</v>
      </c>
      <c r="B73" s="5" t="s">
        <v>11</v>
      </c>
      <c r="C73" s="5" t="s">
        <v>442</v>
      </c>
      <c r="D73" s="5" t="s">
        <v>443</v>
      </c>
      <c r="E73" s="5" t="s">
        <v>444</v>
      </c>
      <c r="F73" s="11"/>
      <c r="G73" t="s">
        <v>1005</v>
      </c>
      <c r="H73" s="12" t="str">
        <f t="shared" si="2"/>
        <v/>
      </c>
      <c r="I73" s="16" t="s">
        <v>943</v>
      </c>
      <c r="J73" t="s">
        <v>921</v>
      </c>
      <c r="K73" s="7" t="str">
        <f t="shared" si="3"/>
        <v>E3</v>
      </c>
    </row>
    <row r="74" spans="1:11" s="6" customFormat="1" ht="28" customHeight="1">
      <c r="A74" s="4">
        <v>73</v>
      </c>
      <c r="B74" s="5" t="s">
        <v>11</v>
      </c>
      <c r="C74" s="5" t="s">
        <v>799</v>
      </c>
      <c r="D74" s="5" t="s">
        <v>800</v>
      </c>
      <c r="E74" s="5" t="s">
        <v>801</v>
      </c>
      <c r="F74" s="11"/>
      <c r="G74" t="s">
        <v>1006</v>
      </c>
      <c r="H74" s="12" t="str">
        <f t="shared" si="2"/>
        <v/>
      </c>
      <c r="I74" s="16" t="s">
        <v>945</v>
      </c>
      <c r="J74" t="s">
        <v>921</v>
      </c>
      <c r="K74" s="7" t="str">
        <f t="shared" si="3"/>
        <v>O3</v>
      </c>
    </row>
    <row r="75" spans="1:11" s="6" customFormat="1" ht="28" customHeight="1">
      <c r="A75" s="4">
        <v>74</v>
      </c>
      <c r="B75" s="5" t="s">
        <v>11</v>
      </c>
      <c r="C75" s="5" t="s">
        <v>76</v>
      </c>
      <c r="D75" s="5" t="s">
        <v>77</v>
      </c>
      <c r="E75" s="5" t="s">
        <v>78</v>
      </c>
      <c r="F75" s="11"/>
      <c r="G75" t="s">
        <v>1007</v>
      </c>
      <c r="H75" s="12" t="str">
        <f t="shared" si="2"/>
        <v/>
      </c>
      <c r="I75" s="16" t="s">
        <v>947</v>
      </c>
      <c r="J75" t="s">
        <v>921</v>
      </c>
      <c r="K75" s="7" t="str">
        <f t="shared" si="3"/>
        <v>A3</v>
      </c>
    </row>
    <row r="76" spans="1:11" s="6" customFormat="1" ht="28" customHeight="1">
      <c r="A76" s="4">
        <v>75</v>
      </c>
      <c r="B76" s="5" t="s">
        <v>11</v>
      </c>
      <c r="C76" s="5" t="s">
        <v>262</v>
      </c>
      <c r="D76" s="5" t="s">
        <v>263</v>
      </c>
      <c r="E76" s="5" t="s">
        <v>264</v>
      </c>
      <c r="F76" s="11"/>
      <c r="G76" t="s">
        <v>1008</v>
      </c>
      <c r="H76" s="12" t="str">
        <f t="shared" si="2"/>
        <v/>
      </c>
      <c r="I76" s="16" t="s">
        <v>949</v>
      </c>
      <c r="J76" t="s">
        <v>921</v>
      </c>
      <c r="K76" s="7" t="str">
        <f t="shared" si="3"/>
        <v>C3</v>
      </c>
    </row>
    <row r="77" spans="1:11" s="6" customFormat="1" ht="28" customHeight="1">
      <c r="A77" s="4">
        <v>76</v>
      </c>
      <c r="B77" s="5" t="s">
        <v>11</v>
      </c>
      <c r="C77" s="5" t="s">
        <v>643</v>
      </c>
      <c r="D77" s="5" t="s">
        <v>644</v>
      </c>
      <c r="E77" s="5" t="s">
        <v>645</v>
      </c>
      <c r="F77" s="11"/>
      <c r="G77" t="s">
        <v>1009</v>
      </c>
      <c r="H77" s="12" t="str">
        <f t="shared" si="2"/>
        <v/>
      </c>
      <c r="I77" s="16" t="s">
        <v>951</v>
      </c>
      <c r="J77" t="s">
        <v>921</v>
      </c>
      <c r="K77" s="7" t="str">
        <f t="shared" si="3"/>
        <v>N4</v>
      </c>
    </row>
    <row r="78" spans="1:11" s="6" customFormat="1" ht="28" customHeight="1">
      <c r="A78" s="4">
        <v>77</v>
      </c>
      <c r="B78" s="5" t="s">
        <v>11</v>
      </c>
      <c r="C78" s="5" t="s">
        <v>469</v>
      </c>
      <c r="D78" s="5" t="s">
        <v>470</v>
      </c>
      <c r="E78" s="5" t="s">
        <v>471</v>
      </c>
      <c r="F78" s="11"/>
      <c r="G78" t="s">
        <v>1010</v>
      </c>
      <c r="H78" s="12" t="str">
        <f t="shared" si="2"/>
        <v/>
      </c>
      <c r="I78" s="16" t="s">
        <v>953</v>
      </c>
      <c r="J78" t="s">
        <v>921</v>
      </c>
      <c r="K78" s="7" t="str">
        <f t="shared" si="3"/>
        <v>E4</v>
      </c>
    </row>
    <row r="79" spans="1:11" s="6" customFormat="1" ht="28" customHeight="1">
      <c r="A79" s="4">
        <v>78</v>
      </c>
      <c r="B79" s="5" t="s">
        <v>11</v>
      </c>
      <c r="C79" s="5" t="s">
        <v>829</v>
      </c>
      <c r="D79" s="5" t="s">
        <v>830</v>
      </c>
      <c r="E79" s="5" t="s">
        <v>831</v>
      </c>
      <c r="F79" s="11"/>
      <c r="G79" t="s">
        <v>1011</v>
      </c>
      <c r="H79" s="12" t="str">
        <f t="shared" si="2"/>
        <v/>
      </c>
      <c r="I79" s="16" t="s">
        <v>955</v>
      </c>
      <c r="J79" t="s">
        <v>921</v>
      </c>
      <c r="K79" s="7" t="str">
        <f t="shared" si="3"/>
        <v>O4</v>
      </c>
    </row>
    <row r="80" spans="1:11" s="6" customFormat="1" ht="28" customHeight="1">
      <c r="A80" s="4">
        <v>79</v>
      </c>
      <c r="B80" s="5" t="s">
        <v>11</v>
      </c>
      <c r="C80" s="5" t="s">
        <v>109</v>
      </c>
      <c r="D80" s="5" t="s">
        <v>110</v>
      </c>
      <c r="E80" s="5" t="s">
        <v>111</v>
      </c>
      <c r="F80" s="11"/>
      <c r="G80" t="s">
        <v>1012</v>
      </c>
      <c r="H80" s="12" t="str">
        <f t="shared" si="2"/>
        <v/>
      </c>
      <c r="I80" s="16" t="s">
        <v>957</v>
      </c>
      <c r="J80" t="s">
        <v>921</v>
      </c>
      <c r="K80" s="7" t="str">
        <f t="shared" si="3"/>
        <v>A4</v>
      </c>
    </row>
    <row r="81" spans="1:11" s="6" customFormat="1" ht="28" customHeight="1">
      <c r="A81" s="4">
        <v>80</v>
      </c>
      <c r="B81" s="5" t="s">
        <v>11</v>
      </c>
      <c r="C81" s="5" t="s">
        <v>292</v>
      </c>
      <c r="D81" s="5" t="s">
        <v>293</v>
      </c>
      <c r="E81" s="5" t="s">
        <v>294</v>
      </c>
      <c r="F81" s="11"/>
      <c r="G81" t="s">
        <v>1013</v>
      </c>
      <c r="H81" s="12" t="str">
        <f t="shared" si="2"/>
        <v/>
      </c>
      <c r="I81" s="16" t="s">
        <v>959</v>
      </c>
      <c r="J81" t="s">
        <v>921</v>
      </c>
      <c r="K81" s="7" t="str">
        <f t="shared" si="3"/>
        <v>C4</v>
      </c>
    </row>
    <row r="82" spans="1:11" s="6" customFormat="1" ht="28" customHeight="1">
      <c r="A82" s="4">
        <v>81</v>
      </c>
      <c r="B82" s="5" t="s">
        <v>11</v>
      </c>
      <c r="C82" s="5" t="s">
        <v>682</v>
      </c>
      <c r="D82" s="5" t="s">
        <v>683</v>
      </c>
      <c r="E82" s="5" t="s">
        <v>684</v>
      </c>
      <c r="F82" s="11"/>
      <c r="G82" t="s">
        <v>1014</v>
      </c>
      <c r="H82" s="12" t="str">
        <f t="shared" si="2"/>
        <v/>
      </c>
      <c r="I82" s="16" t="s">
        <v>961</v>
      </c>
      <c r="J82" t="s">
        <v>921</v>
      </c>
      <c r="K82" s="7" t="str">
        <f t="shared" si="3"/>
        <v>N5</v>
      </c>
    </row>
    <row r="83" spans="1:11" s="6" customFormat="1" ht="28" customHeight="1">
      <c r="A83" s="4">
        <v>82</v>
      </c>
      <c r="B83" s="5" t="s">
        <v>11</v>
      </c>
      <c r="C83" s="5" t="s">
        <v>505</v>
      </c>
      <c r="D83" s="5" t="s">
        <v>506</v>
      </c>
      <c r="E83" s="5" t="s">
        <v>507</v>
      </c>
      <c r="F83" s="11"/>
      <c r="G83" t="s">
        <v>1015</v>
      </c>
      <c r="H83" s="12" t="str">
        <f t="shared" si="2"/>
        <v/>
      </c>
      <c r="I83" s="16" t="s">
        <v>963</v>
      </c>
      <c r="J83" t="s">
        <v>921</v>
      </c>
      <c r="K83" s="7" t="str">
        <f t="shared" si="3"/>
        <v>E5</v>
      </c>
    </row>
    <row r="84" spans="1:11" s="6" customFormat="1" ht="28" customHeight="1">
      <c r="A84" s="4">
        <v>83</v>
      </c>
      <c r="B84" s="5" t="s">
        <v>11</v>
      </c>
      <c r="C84" s="5" t="s">
        <v>859</v>
      </c>
      <c r="D84" s="5" t="s">
        <v>860</v>
      </c>
      <c r="E84" s="5" t="s">
        <v>861</v>
      </c>
      <c r="F84" s="11"/>
      <c r="G84" t="s">
        <v>1016</v>
      </c>
      <c r="H84" s="12" t="str">
        <f t="shared" si="2"/>
        <v/>
      </c>
      <c r="I84" s="16" t="s">
        <v>965</v>
      </c>
      <c r="J84" t="s">
        <v>921</v>
      </c>
      <c r="K84" s="7" t="str">
        <f t="shared" si="3"/>
        <v>O5</v>
      </c>
    </row>
    <row r="85" spans="1:11" s="6" customFormat="1" ht="28" customHeight="1">
      <c r="A85" s="4">
        <v>84</v>
      </c>
      <c r="B85" s="5" t="s">
        <v>11</v>
      </c>
      <c r="C85" s="5" t="s">
        <v>139</v>
      </c>
      <c r="D85" s="5" t="s">
        <v>140</v>
      </c>
      <c r="E85" s="5" t="s">
        <v>141</v>
      </c>
      <c r="F85" s="11"/>
      <c r="G85" t="s">
        <v>1017</v>
      </c>
      <c r="H85" s="12" t="str">
        <f t="shared" si="2"/>
        <v/>
      </c>
      <c r="I85" s="16" t="s">
        <v>967</v>
      </c>
      <c r="J85" t="s">
        <v>921</v>
      </c>
      <c r="K85" s="7" t="str">
        <f t="shared" si="3"/>
        <v>A5</v>
      </c>
    </row>
    <row r="86" spans="1:11" s="6" customFormat="1" ht="28" customHeight="1">
      <c r="A86" s="4">
        <v>85</v>
      </c>
      <c r="B86" s="5" t="s">
        <v>11</v>
      </c>
      <c r="C86" s="5" t="s">
        <v>322</v>
      </c>
      <c r="D86" s="5" t="s">
        <v>323</v>
      </c>
      <c r="E86" s="5" t="s">
        <v>324</v>
      </c>
      <c r="F86" s="11"/>
      <c r="G86" t="s">
        <v>1018</v>
      </c>
      <c r="H86" s="12" t="str">
        <f t="shared" si="2"/>
        <v/>
      </c>
      <c r="I86" s="16" t="s">
        <v>969</v>
      </c>
      <c r="J86" t="s">
        <v>921</v>
      </c>
      <c r="K86" s="7" t="str">
        <f t="shared" si="3"/>
        <v>C5</v>
      </c>
    </row>
    <row r="87" spans="1:11" s="6" customFormat="1" ht="28" customHeight="1">
      <c r="A87" s="4">
        <v>86</v>
      </c>
      <c r="B87" s="5" t="s">
        <v>11</v>
      </c>
      <c r="C87" s="5" t="s">
        <v>709</v>
      </c>
      <c r="D87" s="5" t="s">
        <v>710</v>
      </c>
      <c r="E87" s="5" t="s">
        <v>711</v>
      </c>
      <c r="F87" s="11"/>
      <c r="G87" t="s">
        <v>1019</v>
      </c>
      <c r="H87" s="12" t="str">
        <f t="shared" si="2"/>
        <v/>
      </c>
      <c r="I87" s="16" t="s">
        <v>971</v>
      </c>
      <c r="J87" t="s">
        <v>921</v>
      </c>
      <c r="K87" s="7" t="str">
        <f t="shared" si="3"/>
        <v>N6</v>
      </c>
    </row>
    <row r="88" spans="1:11" s="6" customFormat="1" ht="28" customHeight="1">
      <c r="A88" s="4">
        <v>87</v>
      </c>
      <c r="B88" s="5" t="s">
        <v>11</v>
      </c>
      <c r="C88" s="5" t="s">
        <v>535</v>
      </c>
      <c r="D88" s="5" t="s">
        <v>536</v>
      </c>
      <c r="E88" s="5" t="s">
        <v>537</v>
      </c>
      <c r="F88" s="11"/>
      <c r="G88" t="s">
        <v>972</v>
      </c>
      <c r="H88" s="12" t="str">
        <f t="shared" si="2"/>
        <v/>
      </c>
      <c r="I88" s="16" t="s">
        <v>973</v>
      </c>
      <c r="J88" t="s">
        <v>921</v>
      </c>
      <c r="K88" s="7" t="str">
        <f t="shared" si="3"/>
        <v>E6</v>
      </c>
    </row>
    <row r="89" spans="1:11" s="6" customFormat="1" ht="28" customHeight="1">
      <c r="A89" s="4">
        <v>88</v>
      </c>
      <c r="B89" s="5" t="s">
        <v>11</v>
      </c>
      <c r="C89" s="5" t="s">
        <v>889</v>
      </c>
      <c r="D89" s="5" t="s">
        <v>890</v>
      </c>
      <c r="E89" s="5" t="s">
        <v>891</v>
      </c>
      <c r="F89" s="11"/>
      <c r="G89" t="s">
        <v>1020</v>
      </c>
      <c r="H89" s="12" t="str">
        <f t="shared" si="2"/>
        <v/>
      </c>
      <c r="I89" s="16" t="s">
        <v>975</v>
      </c>
      <c r="J89" t="s">
        <v>921</v>
      </c>
      <c r="K89" s="7" t="str">
        <f t="shared" si="3"/>
        <v>O6</v>
      </c>
    </row>
    <row r="90" spans="1:11" s="6" customFormat="1" ht="28" customHeight="1">
      <c r="A90" s="4">
        <v>89</v>
      </c>
      <c r="B90" s="5" t="s">
        <v>11</v>
      </c>
      <c r="C90" s="5" t="s">
        <v>169</v>
      </c>
      <c r="D90" s="5" t="s">
        <v>170</v>
      </c>
      <c r="E90" s="5" t="s">
        <v>171</v>
      </c>
      <c r="F90" s="11"/>
      <c r="G90" t="s">
        <v>1021</v>
      </c>
      <c r="H90" s="12" t="str">
        <f t="shared" si="2"/>
        <v/>
      </c>
      <c r="I90" s="16" t="s">
        <v>977</v>
      </c>
      <c r="J90" t="s">
        <v>921</v>
      </c>
      <c r="K90" s="7" t="str">
        <f t="shared" si="3"/>
        <v>A6</v>
      </c>
    </row>
    <row r="91" spans="1:11" s="6" customFormat="1" ht="28" customHeight="1">
      <c r="A91" s="4">
        <v>90</v>
      </c>
      <c r="B91" s="5" t="s">
        <v>11</v>
      </c>
      <c r="C91" s="5" t="s">
        <v>349</v>
      </c>
      <c r="D91" s="5" t="s">
        <v>350</v>
      </c>
      <c r="E91" s="5" t="s">
        <v>351</v>
      </c>
      <c r="F91" s="11"/>
      <c r="G91" t="s">
        <v>1022</v>
      </c>
      <c r="H91" s="12" t="str">
        <f t="shared" si="2"/>
        <v/>
      </c>
      <c r="I91" s="16" t="s">
        <v>979</v>
      </c>
      <c r="J91" t="s">
        <v>921</v>
      </c>
      <c r="K91" s="7" t="str">
        <f t="shared" si="3"/>
        <v>C6</v>
      </c>
    </row>
    <row r="92" spans="1:11" s="6" customFormat="1" ht="28" customHeight="1">
      <c r="A92" s="4">
        <v>91</v>
      </c>
      <c r="B92" s="5" t="s">
        <v>11</v>
      </c>
      <c r="C92" s="5" t="s">
        <v>562</v>
      </c>
      <c r="D92" s="5" t="s">
        <v>563</v>
      </c>
      <c r="E92" s="5" t="s">
        <v>564</v>
      </c>
      <c r="F92" s="11"/>
      <c r="G92" t="s">
        <v>1023</v>
      </c>
      <c r="H92" s="12" t="str">
        <f t="shared" si="2"/>
        <v/>
      </c>
      <c r="I92" s="16" t="s">
        <v>920</v>
      </c>
      <c r="J92" t="s">
        <v>921</v>
      </c>
      <c r="K92" s="7" t="str">
        <f t="shared" si="3"/>
        <v>N1</v>
      </c>
    </row>
    <row r="93" spans="1:11" s="6" customFormat="1" ht="28" customHeight="1">
      <c r="A93" s="4">
        <v>92</v>
      </c>
      <c r="B93" s="5" t="s">
        <v>11</v>
      </c>
      <c r="C93" s="5" t="s">
        <v>382</v>
      </c>
      <c r="D93" s="5" t="s">
        <v>383</v>
      </c>
      <c r="E93" s="5" t="s">
        <v>384</v>
      </c>
      <c r="F93" s="11"/>
      <c r="G93" t="s">
        <v>1024</v>
      </c>
      <c r="H93" s="12" t="str">
        <f t="shared" si="2"/>
        <v/>
      </c>
      <c r="I93" s="16" t="s">
        <v>923</v>
      </c>
      <c r="J93" t="s">
        <v>921</v>
      </c>
      <c r="K93" s="7" t="str">
        <f t="shared" si="3"/>
        <v>E1</v>
      </c>
    </row>
    <row r="94" spans="1:11" s="6" customFormat="1" ht="28" customHeight="1">
      <c r="A94" s="4">
        <v>93</v>
      </c>
      <c r="B94" s="5" t="s">
        <v>11</v>
      </c>
      <c r="C94" s="5" t="s">
        <v>742</v>
      </c>
      <c r="D94" s="5" t="s">
        <v>743</v>
      </c>
      <c r="E94" s="5" t="s">
        <v>744</v>
      </c>
      <c r="F94" s="11"/>
      <c r="G94" t="s">
        <v>1025</v>
      </c>
      <c r="H94" s="12" t="str">
        <f t="shared" si="2"/>
        <v/>
      </c>
      <c r="I94" s="16" t="s">
        <v>925</v>
      </c>
      <c r="J94" t="s">
        <v>921</v>
      </c>
      <c r="K94" s="7" t="str">
        <f t="shared" si="3"/>
        <v>O1</v>
      </c>
    </row>
    <row r="95" spans="1:11" s="6" customFormat="1" ht="28" customHeight="1">
      <c r="A95" s="4">
        <v>94</v>
      </c>
      <c r="B95" s="5" t="s">
        <v>11</v>
      </c>
      <c r="C95" s="5" t="s">
        <v>21</v>
      </c>
      <c r="D95" s="5" t="s">
        <v>22</v>
      </c>
      <c r="E95" s="5" t="s">
        <v>23</v>
      </c>
      <c r="F95" s="11"/>
      <c r="G95" t="s">
        <v>1026</v>
      </c>
      <c r="H95" s="12" t="str">
        <f t="shared" si="2"/>
        <v/>
      </c>
      <c r="I95" s="16" t="s">
        <v>927</v>
      </c>
      <c r="J95" t="s">
        <v>921</v>
      </c>
      <c r="K95" s="7" t="str">
        <f t="shared" si="3"/>
        <v>A1</v>
      </c>
    </row>
    <row r="96" spans="1:11" s="6" customFormat="1" ht="28" customHeight="1">
      <c r="A96" s="4">
        <v>95</v>
      </c>
      <c r="B96" s="5" t="s">
        <v>11</v>
      </c>
      <c r="C96" s="5" t="s">
        <v>205</v>
      </c>
      <c r="D96" s="5" t="s">
        <v>206</v>
      </c>
      <c r="E96" s="5" t="s">
        <v>207</v>
      </c>
      <c r="F96" s="11"/>
      <c r="G96" t="s">
        <v>1027</v>
      </c>
      <c r="H96" s="12" t="str">
        <f t="shared" si="2"/>
        <v/>
      </c>
      <c r="I96" s="16" t="s">
        <v>929</v>
      </c>
      <c r="J96" t="s">
        <v>921</v>
      </c>
      <c r="K96" s="7" t="str">
        <f t="shared" si="3"/>
        <v>C1</v>
      </c>
    </row>
    <row r="97" spans="1:11" s="6" customFormat="1" ht="28" customHeight="1">
      <c r="A97" s="4">
        <v>96</v>
      </c>
      <c r="B97" s="5" t="s">
        <v>11</v>
      </c>
      <c r="C97" s="5" t="s">
        <v>595</v>
      </c>
      <c r="D97" s="5" t="s">
        <v>596</v>
      </c>
      <c r="E97" s="5" t="s">
        <v>597</v>
      </c>
      <c r="F97" s="11"/>
      <c r="G97" t="s">
        <v>1028</v>
      </c>
      <c r="H97" s="12" t="str">
        <f t="shared" si="2"/>
        <v/>
      </c>
      <c r="I97" s="16" t="s">
        <v>931</v>
      </c>
      <c r="J97" t="s">
        <v>921</v>
      </c>
      <c r="K97" s="7" t="str">
        <f t="shared" si="3"/>
        <v>N2</v>
      </c>
    </row>
    <row r="98" spans="1:11" s="6" customFormat="1" ht="28" customHeight="1">
      <c r="A98" s="4">
        <v>97</v>
      </c>
      <c r="B98" s="5" t="s">
        <v>11</v>
      </c>
      <c r="C98" s="5" t="s">
        <v>412</v>
      </c>
      <c r="D98" s="5" t="s">
        <v>413</v>
      </c>
      <c r="E98" s="5" t="s">
        <v>414</v>
      </c>
      <c r="F98" s="11"/>
      <c r="G98" t="s">
        <v>1029</v>
      </c>
      <c r="H98" s="12" t="str">
        <f t="shared" si="2"/>
        <v/>
      </c>
      <c r="I98" s="16" t="s">
        <v>933</v>
      </c>
      <c r="J98" t="s">
        <v>921</v>
      </c>
      <c r="K98" s="7" t="str">
        <f t="shared" si="3"/>
        <v>E2</v>
      </c>
    </row>
    <row r="99" spans="1:11" s="6" customFormat="1" ht="28" customHeight="1">
      <c r="A99" s="4">
        <v>98</v>
      </c>
      <c r="B99" s="5" t="s">
        <v>11</v>
      </c>
      <c r="C99" s="5" t="s">
        <v>772</v>
      </c>
      <c r="D99" s="5" t="s">
        <v>773</v>
      </c>
      <c r="E99" s="5" t="s">
        <v>774</v>
      </c>
      <c r="F99" s="11"/>
      <c r="G99" t="s">
        <v>1030</v>
      </c>
      <c r="H99" s="12" t="str">
        <f t="shared" si="2"/>
        <v/>
      </c>
      <c r="I99" s="16" t="s">
        <v>935</v>
      </c>
      <c r="J99" t="s">
        <v>921</v>
      </c>
      <c r="K99" s="7" t="str">
        <f t="shared" si="3"/>
        <v>O2</v>
      </c>
    </row>
    <row r="100" spans="1:11" s="6" customFormat="1" ht="28" customHeight="1">
      <c r="A100" s="4">
        <v>99</v>
      </c>
      <c r="B100" s="5" t="s">
        <v>30</v>
      </c>
      <c r="C100" s="5" t="s">
        <v>49</v>
      </c>
      <c r="D100" s="5" t="s">
        <v>50</v>
      </c>
      <c r="E100" s="5" t="s">
        <v>51</v>
      </c>
      <c r="F100" s="11"/>
      <c r="G100" t="s">
        <v>1031</v>
      </c>
      <c r="H100" s="12" t="str">
        <f t="shared" si="2"/>
        <v/>
      </c>
      <c r="I100" s="16" t="s">
        <v>937</v>
      </c>
      <c r="J100" t="s">
        <v>1003</v>
      </c>
      <c r="K100" s="7" t="str">
        <f t="shared" si="3"/>
        <v>A2</v>
      </c>
    </row>
    <row r="101" spans="1:11" s="6" customFormat="1" ht="28" customHeight="1">
      <c r="A101" s="4">
        <v>100</v>
      </c>
      <c r="B101" s="5" t="s">
        <v>11</v>
      </c>
      <c r="C101" s="5" t="s">
        <v>232</v>
      </c>
      <c r="D101" s="5" t="s">
        <v>233</v>
      </c>
      <c r="E101" s="5" t="s">
        <v>234</v>
      </c>
      <c r="F101" s="11"/>
      <c r="G101" t="s">
        <v>938</v>
      </c>
      <c r="H101" s="12" t="str">
        <f t="shared" si="2"/>
        <v/>
      </c>
      <c r="I101" s="16" t="s">
        <v>939</v>
      </c>
      <c r="J101" t="s">
        <v>921</v>
      </c>
      <c r="K101" s="7" t="str">
        <f t="shared" si="3"/>
        <v>C2</v>
      </c>
    </row>
    <row r="102" spans="1:11" s="6" customFormat="1" ht="28" customHeight="1">
      <c r="A102" s="4">
        <v>101</v>
      </c>
      <c r="B102" s="5" t="s">
        <v>11</v>
      </c>
      <c r="C102" s="5" t="s">
        <v>622</v>
      </c>
      <c r="D102" s="5" t="s">
        <v>623</v>
      </c>
      <c r="E102" s="5" t="s">
        <v>624</v>
      </c>
      <c r="F102" s="11"/>
      <c r="G102" t="s">
        <v>1032</v>
      </c>
      <c r="H102" s="12" t="str">
        <f t="shared" si="2"/>
        <v/>
      </c>
      <c r="I102" s="16" t="s">
        <v>941</v>
      </c>
      <c r="J102" t="s">
        <v>921</v>
      </c>
      <c r="K102" s="7" t="str">
        <f t="shared" si="3"/>
        <v>N3</v>
      </c>
    </row>
    <row r="103" spans="1:11" s="6" customFormat="1" ht="28" customHeight="1">
      <c r="A103" s="4">
        <v>102</v>
      </c>
      <c r="B103" s="5" t="s">
        <v>11</v>
      </c>
      <c r="C103" s="5" t="s">
        <v>445</v>
      </c>
      <c r="D103" s="5" t="s">
        <v>446</v>
      </c>
      <c r="E103" s="5" t="s">
        <v>447</v>
      </c>
      <c r="F103" s="11"/>
      <c r="G103" t="s">
        <v>1033</v>
      </c>
      <c r="H103" s="12" t="str">
        <f t="shared" si="2"/>
        <v/>
      </c>
      <c r="I103" s="16" t="s">
        <v>943</v>
      </c>
      <c r="J103" t="s">
        <v>921</v>
      </c>
      <c r="K103" s="7" t="str">
        <f t="shared" si="3"/>
        <v>E3</v>
      </c>
    </row>
    <row r="104" spans="1:11" s="6" customFormat="1" ht="28" customHeight="1">
      <c r="A104" s="4">
        <v>103</v>
      </c>
      <c r="B104" s="5" t="s">
        <v>11</v>
      </c>
      <c r="C104" s="5" t="s">
        <v>802</v>
      </c>
      <c r="D104" s="5" t="s">
        <v>803</v>
      </c>
      <c r="E104" s="5" t="s">
        <v>804</v>
      </c>
      <c r="F104" s="11"/>
      <c r="G104" t="s">
        <v>1034</v>
      </c>
      <c r="H104" s="12" t="str">
        <f t="shared" si="2"/>
        <v/>
      </c>
      <c r="I104" s="16" t="s">
        <v>945</v>
      </c>
      <c r="J104" t="s">
        <v>921</v>
      </c>
      <c r="K104" s="7" t="str">
        <f t="shared" si="3"/>
        <v>O3</v>
      </c>
    </row>
    <row r="105" spans="1:11" s="6" customFormat="1" ht="28" customHeight="1">
      <c r="A105" s="4">
        <v>104</v>
      </c>
      <c r="B105" s="5" t="s">
        <v>11</v>
      </c>
      <c r="C105" s="5" t="s">
        <v>73</v>
      </c>
      <c r="D105" s="5" t="s">
        <v>74</v>
      </c>
      <c r="E105" s="5" t="s">
        <v>75</v>
      </c>
      <c r="F105" s="11"/>
      <c r="G105" t="s">
        <v>1035</v>
      </c>
      <c r="H105" s="12" t="str">
        <f t="shared" si="2"/>
        <v/>
      </c>
      <c r="I105" s="16" t="s">
        <v>947</v>
      </c>
      <c r="J105" t="s">
        <v>921</v>
      </c>
      <c r="K105" s="7" t="str">
        <f t="shared" si="3"/>
        <v>A3</v>
      </c>
    </row>
    <row r="106" spans="1:11" s="6" customFormat="1" ht="28" customHeight="1">
      <c r="A106" s="4">
        <v>105</v>
      </c>
      <c r="B106" s="5" t="s">
        <v>11</v>
      </c>
      <c r="C106" s="5" t="s">
        <v>256</v>
      </c>
      <c r="D106" s="5" t="s">
        <v>257</v>
      </c>
      <c r="E106" s="5" t="s">
        <v>258</v>
      </c>
      <c r="F106" s="11"/>
      <c r="G106" t="s">
        <v>1036</v>
      </c>
      <c r="H106" s="12" t="str">
        <f t="shared" si="2"/>
        <v/>
      </c>
      <c r="I106" s="16" t="s">
        <v>949</v>
      </c>
      <c r="J106" t="s">
        <v>921</v>
      </c>
      <c r="K106" s="7" t="str">
        <f t="shared" si="3"/>
        <v>C3</v>
      </c>
    </row>
    <row r="107" spans="1:11" s="6" customFormat="1" ht="28" customHeight="1">
      <c r="A107" s="4">
        <v>106</v>
      </c>
      <c r="B107" s="5" t="s">
        <v>11</v>
      </c>
      <c r="C107" s="5" t="s">
        <v>646</v>
      </c>
      <c r="D107" s="5" t="s">
        <v>647</v>
      </c>
      <c r="E107" s="5" t="s">
        <v>648</v>
      </c>
      <c r="F107" s="11"/>
      <c r="G107" t="s">
        <v>1037</v>
      </c>
      <c r="H107" s="12" t="str">
        <f t="shared" si="2"/>
        <v/>
      </c>
      <c r="I107" s="16" t="s">
        <v>951</v>
      </c>
      <c r="J107" t="s">
        <v>921</v>
      </c>
      <c r="K107" s="7" t="str">
        <f t="shared" si="3"/>
        <v>N4</v>
      </c>
    </row>
    <row r="108" spans="1:11" s="6" customFormat="1" ht="28" customHeight="1">
      <c r="A108" s="4">
        <v>107</v>
      </c>
      <c r="B108" s="5" t="s">
        <v>11</v>
      </c>
      <c r="C108" s="5" t="s">
        <v>472</v>
      </c>
      <c r="D108" s="5" t="s">
        <v>473</v>
      </c>
      <c r="E108" s="5" t="s">
        <v>474</v>
      </c>
      <c r="F108" s="11"/>
      <c r="G108" t="s">
        <v>1038</v>
      </c>
      <c r="H108" s="12" t="str">
        <f t="shared" si="2"/>
        <v/>
      </c>
      <c r="I108" s="16" t="s">
        <v>953</v>
      </c>
      <c r="J108" t="s">
        <v>921</v>
      </c>
      <c r="K108" s="7" t="str">
        <f t="shared" si="3"/>
        <v>E4</v>
      </c>
    </row>
    <row r="109" spans="1:11" s="6" customFormat="1" ht="28" customHeight="1">
      <c r="A109" s="4">
        <v>108</v>
      </c>
      <c r="B109" s="5" t="s">
        <v>11</v>
      </c>
      <c r="C109" s="5" t="s">
        <v>832</v>
      </c>
      <c r="D109" s="5" t="s">
        <v>833</v>
      </c>
      <c r="E109" s="5" t="s">
        <v>834</v>
      </c>
      <c r="F109" s="11"/>
      <c r="G109" t="s">
        <v>1039</v>
      </c>
      <c r="H109" s="12" t="str">
        <f t="shared" si="2"/>
        <v/>
      </c>
      <c r="I109" s="16" t="s">
        <v>955</v>
      </c>
      <c r="J109" t="s">
        <v>921</v>
      </c>
      <c r="K109" s="7" t="str">
        <f t="shared" si="3"/>
        <v>O4</v>
      </c>
    </row>
    <row r="110" spans="1:11" s="6" customFormat="1" ht="28" customHeight="1">
      <c r="A110" s="4">
        <v>109</v>
      </c>
      <c r="B110" s="5" t="s">
        <v>30</v>
      </c>
      <c r="C110" s="5" t="s">
        <v>124</v>
      </c>
      <c r="D110" s="5" t="s">
        <v>125</v>
      </c>
      <c r="E110" s="5" t="s">
        <v>126</v>
      </c>
      <c r="F110" s="11"/>
      <c r="G110" t="s">
        <v>1040</v>
      </c>
      <c r="H110" s="12" t="str">
        <f t="shared" si="2"/>
        <v/>
      </c>
      <c r="I110" s="16" t="s">
        <v>957</v>
      </c>
      <c r="J110" t="s">
        <v>1003</v>
      </c>
      <c r="K110" s="7" t="str">
        <f t="shared" si="3"/>
        <v>A4</v>
      </c>
    </row>
    <row r="111" spans="1:11" s="6" customFormat="1" ht="28" customHeight="1">
      <c r="A111" s="4">
        <v>110</v>
      </c>
      <c r="B111" s="5" t="s">
        <v>11</v>
      </c>
      <c r="C111" s="5" t="s">
        <v>295</v>
      </c>
      <c r="D111" s="5" t="s">
        <v>296</v>
      </c>
      <c r="E111" s="5" t="s">
        <v>297</v>
      </c>
      <c r="F111" s="11"/>
      <c r="G111" t="s">
        <v>1041</v>
      </c>
      <c r="H111" s="12" t="str">
        <f t="shared" si="2"/>
        <v/>
      </c>
      <c r="I111" s="16" t="s">
        <v>959</v>
      </c>
      <c r="J111" t="s">
        <v>921</v>
      </c>
      <c r="K111" s="7" t="str">
        <f t="shared" si="3"/>
        <v>C4</v>
      </c>
    </row>
    <row r="112" spans="1:11" s="6" customFormat="1" ht="28" customHeight="1">
      <c r="A112" s="4">
        <v>111</v>
      </c>
      <c r="B112" s="5" t="s">
        <v>11</v>
      </c>
      <c r="C112" s="5" t="s">
        <v>673</v>
      </c>
      <c r="D112" s="5" t="s">
        <v>674</v>
      </c>
      <c r="E112" s="5" t="s">
        <v>675</v>
      </c>
      <c r="F112" s="11"/>
      <c r="G112" t="s">
        <v>960</v>
      </c>
      <c r="H112" s="12" t="str">
        <f t="shared" si="2"/>
        <v/>
      </c>
      <c r="I112" s="16" t="s">
        <v>961</v>
      </c>
      <c r="J112" t="s">
        <v>921</v>
      </c>
      <c r="K112" s="7" t="str">
        <f t="shared" si="3"/>
        <v>N5</v>
      </c>
    </row>
    <row r="113" spans="1:11" s="6" customFormat="1" ht="28" customHeight="1">
      <c r="A113" s="4">
        <v>112</v>
      </c>
      <c r="B113" s="5" t="s">
        <v>11</v>
      </c>
      <c r="C113" s="5" t="s">
        <v>499</v>
      </c>
      <c r="D113" s="5" t="s">
        <v>500</v>
      </c>
      <c r="E113" s="5" t="s">
        <v>501</v>
      </c>
      <c r="F113" s="11"/>
      <c r="G113" t="s">
        <v>1042</v>
      </c>
      <c r="H113" s="12" t="str">
        <f t="shared" si="2"/>
        <v/>
      </c>
      <c r="I113" s="16" t="s">
        <v>963</v>
      </c>
      <c r="J113" t="s">
        <v>921</v>
      </c>
      <c r="K113" s="7" t="str">
        <f t="shared" si="3"/>
        <v>E5</v>
      </c>
    </row>
    <row r="114" spans="1:11" s="6" customFormat="1" ht="28" customHeight="1">
      <c r="A114" s="4">
        <v>113</v>
      </c>
      <c r="B114" s="5" t="s">
        <v>11</v>
      </c>
      <c r="C114" s="5" t="s">
        <v>862</v>
      </c>
      <c r="D114" s="5" t="s">
        <v>863</v>
      </c>
      <c r="E114" s="5" t="s">
        <v>864</v>
      </c>
      <c r="F114" s="11"/>
      <c r="G114" t="s">
        <v>1043</v>
      </c>
      <c r="H114" s="12" t="str">
        <f t="shared" si="2"/>
        <v/>
      </c>
      <c r="I114" s="16" t="s">
        <v>965</v>
      </c>
      <c r="J114" t="s">
        <v>921</v>
      </c>
      <c r="K114" s="7" t="str">
        <f t="shared" si="3"/>
        <v>O5</v>
      </c>
    </row>
    <row r="115" spans="1:11" s="6" customFormat="1" ht="28" customHeight="1">
      <c r="A115" s="4">
        <v>114</v>
      </c>
      <c r="B115" s="5" t="s">
        <v>11</v>
      </c>
      <c r="C115" s="5" t="s">
        <v>142</v>
      </c>
      <c r="D115" s="5" t="s">
        <v>143</v>
      </c>
      <c r="E115" s="5" t="s">
        <v>144</v>
      </c>
      <c r="F115" s="11"/>
      <c r="G115" t="s">
        <v>1044</v>
      </c>
      <c r="H115" s="12" t="str">
        <f t="shared" si="2"/>
        <v/>
      </c>
      <c r="I115" s="16" t="s">
        <v>967</v>
      </c>
      <c r="J115" t="s">
        <v>921</v>
      </c>
      <c r="K115" s="7" t="str">
        <f t="shared" si="3"/>
        <v>A5</v>
      </c>
    </row>
    <row r="116" spans="1:11" s="6" customFormat="1" ht="28" customHeight="1">
      <c r="A116" s="4">
        <v>115</v>
      </c>
      <c r="B116" s="5" t="s">
        <v>11</v>
      </c>
      <c r="C116" s="5" t="s">
        <v>325</v>
      </c>
      <c r="D116" s="5" t="s">
        <v>326</v>
      </c>
      <c r="E116" s="5" t="s">
        <v>327</v>
      </c>
      <c r="F116" s="11"/>
      <c r="G116" t="s">
        <v>1045</v>
      </c>
      <c r="H116" s="12" t="str">
        <f t="shared" si="2"/>
        <v/>
      </c>
      <c r="I116" s="16" t="s">
        <v>969</v>
      </c>
      <c r="J116" t="s">
        <v>921</v>
      </c>
      <c r="K116" s="7" t="str">
        <f t="shared" si="3"/>
        <v>C5</v>
      </c>
    </row>
    <row r="117" spans="1:11" s="6" customFormat="1" ht="28" customHeight="1">
      <c r="A117" s="4">
        <v>116</v>
      </c>
      <c r="B117" s="5" t="s">
        <v>11</v>
      </c>
      <c r="C117" s="5" t="s">
        <v>712</v>
      </c>
      <c r="D117" s="5" t="s">
        <v>713</v>
      </c>
      <c r="E117" s="5" t="s">
        <v>714</v>
      </c>
      <c r="F117" s="11"/>
      <c r="G117" t="s">
        <v>1046</v>
      </c>
      <c r="H117" s="12" t="str">
        <f t="shared" si="2"/>
        <v/>
      </c>
      <c r="I117" s="16" t="s">
        <v>971</v>
      </c>
      <c r="J117" t="s">
        <v>921</v>
      </c>
      <c r="K117" s="7" t="str">
        <f t="shared" si="3"/>
        <v>N6</v>
      </c>
    </row>
    <row r="118" spans="1:11" s="6" customFormat="1" ht="28" customHeight="1">
      <c r="A118" s="4">
        <v>117</v>
      </c>
      <c r="B118" s="5" t="s">
        <v>11</v>
      </c>
      <c r="C118" s="5" t="s">
        <v>538</v>
      </c>
      <c r="D118" s="5" t="s">
        <v>539</v>
      </c>
      <c r="E118" s="5" t="s">
        <v>540</v>
      </c>
      <c r="F118" s="11"/>
      <c r="G118" t="s">
        <v>972</v>
      </c>
      <c r="H118" s="12" t="str">
        <f t="shared" si="2"/>
        <v/>
      </c>
      <c r="I118" s="16" t="s">
        <v>973</v>
      </c>
      <c r="J118" t="s">
        <v>921</v>
      </c>
      <c r="K118" s="7" t="str">
        <f t="shared" si="3"/>
        <v>E6</v>
      </c>
    </row>
    <row r="119" spans="1:11" s="6" customFormat="1" ht="28" customHeight="1">
      <c r="A119" s="4">
        <v>118</v>
      </c>
      <c r="B119" s="5" t="s">
        <v>30</v>
      </c>
      <c r="C119" s="5" t="s">
        <v>898</v>
      </c>
      <c r="D119" s="5" t="s">
        <v>899</v>
      </c>
      <c r="E119" s="5" t="s">
        <v>900</v>
      </c>
      <c r="F119" s="11"/>
      <c r="G119" t="s">
        <v>974</v>
      </c>
      <c r="H119" s="12" t="str">
        <f t="shared" si="2"/>
        <v/>
      </c>
      <c r="I119" s="16" t="s">
        <v>975</v>
      </c>
      <c r="J119" t="s">
        <v>1003</v>
      </c>
      <c r="K119" s="7" t="str">
        <f t="shared" si="3"/>
        <v>O6</v>
      </c>
    </row>
    <row r="120" spans="1:11" s="6" customFormat="1" ht="28" customHeight="1">
      <c r="A120" s="4">
        <v>119</v>
      </c>
      <c r="B120" s="5" t="s">
        <v>11</v>
      </c>
      <c r="C120" s="5" t="s">
        <v>172</v>
      </c>
      <c r="D120" s="5" t="s">
        <v>173</v>
      </c>
      <c r="E120" s="5" t="s">
        <v>174</v>
      </c>
      <c r="F120" s="11"/>
      <c r="G120" t="s">
        <v>1047</v>
      </c>
      <c r="H120" s="12" t="str">
        <f t="shared" si="2"/>
        <v/>
      </c>
      <c r="I120" s="16" t="s">
        <v>977</v>
      </c>
      <c r="J120" t="s">
        <v>921</v>
      </c>
      <c r="K120" s="7" t="str">
        <f t="shared" si="3"/>
        <v>A6</v>
      </c>
    </row>
    <row r="121" spans="1:11" s="6" customFormat="1" ht="28" customHeight="1">
      <c r="A121" s="4">
        <v>120</v>
      </c>
      <c r="B121" s="5" t="s">
        <v>30</v>
      </c>
      <c r="C121" s="5" t="s">
        <v>352</v>
      </c>
      <c r="D121" s="5" t="s">
        <v>353</v>
      </c>
      <c r="E121" s="5" t="s">
        <v>354</v>
      </c>
      <c r="F121" s="11"/>
      <c r="G121" t="s">
        <v>1048</v>
      </c>
      <c r="H121" s="12" t="str">
        <f t="shared" si="2"/>
        <v/>
      </c>
      <c r="I121" s="16" t="s">
        <v>979</v>
      </c>
      <c r="J121" t="s">
        <v>1003</v>
      </c>
      <c r="K121" s="7" t="str">
        <f t="shared" si="3"/>
        <v>C6</v>
      </c>
    </row>
    <row r="122" spans="1:11" s="6" customFormat="1" ht="28" customHeight="1">
      <c r="A122" s="4">
        <v>121</v>
      </c>
      <c r="B122" s="5" t="s">
        <v>11</v>
      </c>
      <c r="C122" s="5" t="s">
        <v>565</v>
      </c>
      <c r="D122" s="5" t="s">
        <v>566</v>
      </c>
      <c r="E122" s="5" t="s">
        <v>567</v>
      </c>
      <c r="F122" s="11"/>
      <c r="G122" t="s">
        <v>1049</v>
      </c>
      <c r="H122" s="12" t="str">
        <f t="shared" si="2"/>
        <v/>
      </c>
      <c r="I122" s="16" t="s">
        <v>920</v>
      </c>
      <c r="J122" t="s">
        <v>921</v>
      </c>
      <c r="K122" s="7" t="str">
        <f t="shared" si="3"/>
        <v>N1</v>
      </c>
    </row>
    <row r="123" spans="1:11" s="6" customFormat="1" ht="28" customHeight="1">
      <c r="A123" s="4">
        <v>122</v>
      </c>
      <c r="B123" s="5" t="s">
        <v>11</v>
      </c>
      <c r="C123" s="5" t="s">
        <v>385</v>
      </c>
      <c r="D123" s="5" t="s">
        <v>386</v>
      </c>
      <c r="E123" s="5" t="s">
        <v>387</v>
      </c>
      <c r="F123" s="11"/>
      <c r="G123" t="s">
        <v>1050</v>
      </c>
      <c r="H123" s="12" t="str">
        <f t="shared" si="2"/>
        <v/>
      </c>
      <c r="I123" s="16" t="s">
        <v>923</v>
      </c>
      <c r="J123" t="s">
        <v>921</v>
      </c>
      <c r="K123" s="7" t="str">
        <f t="shared" si="3"/>
        <v>E1</v>
      </c>
    </row>
    <row r="124" spans="1:11" s="6" customFormat="1" ht="28" customHeight="1">
      <c r="A124" s="4">
        <v>123</v>
      </c>
      <c r="B124" s="5" t="s">
        <v>11</v>
      </c>
      <c r="C124" s="5" t="s">
        <v>745</v>
      </c>
      <c r="D124" s="5" t="s">
        <v>746</v>
      </c>
      <c r="E124" s="5" t="s">
        <v>747</v>
      </c>
      <c r="F124" s="11"/>
      <c r="G124" t="s">
        <v>1051</v>
      </c>
      <c r="H124" s="12" t="str">
        <f t="shared" si="2"/>
        <v/>
      </c>
      <c r="I124" s="16" t="s">
        <v>925</v>
      </c>
      <c r="J124" t="s">
        <v>921</v>
      </c>
      <c r="K124" s="7" t="str">
        <f t="shared" si="3"/>
        <v>O1</v>
      </c>
    </row>
    <row r="125" spans="1:11" s="6" customFormat="1" ht="28" customHeight="1">
      <c r="A125" s="4">
        <v>124</v>
      </c>
      <c r="B125" s="5" t="s">
        <v>11</v>
      </c>
      <c r="C125" s="5" t="s">
        <v>24</v>
      </c>
      <c r="D125" s="5" t="s">
        <v>25</v>
      </c>
      <c r="E125" s="5" t="s">
        <v>26</v>
      </c>
      <c r="F125" s="11"/>
      <c r="G125" t="s">
        <v>1052</v>
      </c>
      <c r="H125" s="12" t="str">
        <f t="shared" si="2"/>
        <v/>
      </c>
      <c r="I125" s="16" t="s">
        <v>927</v>
      </c>
      <c r="J125" t="s">
        <v>921</v>
      </c>
      <c r="K125" s="7" t="str">
        <f t="shared" si="3"/>
        <v>A1</v>
      </c>
    </row>
    <row r="126" spans="1:11" s="6" customFormat="1" ht="28" customHeight="1">
      <c r="A126" s="4">
        <v>125</v>
      </c>
      <c r="B126" s="5" t="s">
        <v>11</v>
      </c>
      <c r="C126" s="5" t="s">
        <v>208</v>
      </c>
      <c r="D126" s="5" t="s">
        <v>209</v>
      </c>
      <c r="E126" s="5" t="s">
        <v>210</v>
      </c>
      <c r="F126" s="11"/>
      <c r="G126" t="s">
        <v>1053</v>
      </c>
      <c r="H126" s="12" t="str">
        <f t="shared" si="2"/>
        <v/>
      </c>
      <c r="I126" s="16" t="s">
        <v>929</v>
      </c>
      <c r="J126" t="s">
        <v>921</v>
      </c>
      <c r="K126" s="7" t="str">
        <f t="shared" si="3"/>
        <v>C1</v>
      </c>
    </row>
    <row r="127" spans="1:11" s="6" customFormat="1" ht="28" customHeight="1">
      <c r="A127" s="4">
        <v>126</v>
      </c>
      <c r="B127" s="5" t="s">
        <v>11</v>
      </c>
      <c r="C127" s="5" t="s">
        <v>589</v>
      </c>
      <c r="D127" s="5" t="s">
        <v>590</v>
      </c>
      <c r="E127" s="5" t="s">
        <v>591</v>
      </c>
      <c r="F127" s="11"/>
      <c r="G127" t="s">
        <v>930</v>
      </c>
      <c r="H127" s="12" t="str">
        <f t="shared" si="2"/>
        <v/>
      </c>
      <c r="I127" s="16" t="s">
        <v>931</v>
      </c>
      <c r="J127" t="s">
        <v>921</v>
      </c>
      <c r="K127" s="7" t="str">
        <f t="shared" si="3"/>
        <v>N2</v>
      </c>
    </row>
    <row r="128" spans="1:11" s="6" customFormat="1" ht="28" customHeight="1">
      <c r="A128" s="4">
        <v>127</v>
      </c>
      <c r="B128" s="5" t="s">
        <v>11</v>
      </c>
      <c r="C128" s="5" t="s">
        <v>415</v>
      </c>
      <c r="D128" s="5" t="s">
        <v>416</v>
      </c>
      <c r="E128" s="5" t="s">
        <v>417</v>
      </c>
      <c r="F128" s="11"/>
      <c r="G128" t="s">
        <v>1054</v>
      </c>
      <c r="H128" s="12" t="str">
        <f t="shared" si="2"/>
        <v/>
      </c>
      <c r="I128" s="16" t="s">
        <v>933</v>
      </c>
      <c r="J128" t="s">
        <v>921</v>
      </c>
      <c r="K128" s="7" t="str">
        <f t="shared" si="3"/>
        <v>E2</v>
      </c>
    </row>
    <row r="129" spans="1:11" s="6" customFormat="1" ht="28" customHeight="1">
      <c r="A129" s="4">
        <v>128</v>
      </c>
      <c r="B129" s="5" t="s">
        <v>11</v>
      </c>
      <c r="C129" s="5" t="s">
        <v>775</v>
      </c>
      <c r="D129" s="5" t="s">
        <v>776</v>
      </c>
      <c r="E129" s="5" t="s">
        <v>777</v>
      </c>
      <c r="F129" s="11"/>
      <c r="G129" t="s">
        <v>1055</v>
      </c>
      <c r="H129" s="12" t="str">
        <f t="shared" si="2"/>
        <v/>
      </c>
      <c r="I129" s="16" t="s">
        <v>935</v>
      </c>
      <c r="J129" t="s">
        <v>921</v>
      </c>
      <c r="K129" s="7" t="str">
        <f t="shared" si="3"/>
        <v>O2</v>
      </c>
    </row>
    <row r="130" spans="1:11" s="6" customFormat="1" ht="28" customHeight="1">
      <c r="A130" s="4">
        <v>129</v>
      </c>
      <c r="B130" s="5" t="s">
        <v>30</v>
      </c>
      <c r="C130" s="5" t="s">
        <v>64</v>
      </c>
      <c r="D130" s="5" t="s">
        <v>65</v>
      </c>
      <c r="E130" s="5" t="s">
        <v>66</v>
      </c>
      <c r="F130" s="11"/>
      <c r="G130" t="s">
        <v>1056</v>
      </c>
      <c r="H130" s="12" t="str">
        <f t="shared" ref="H130:H193" si="4">IF(ISBLANK(F130),"",IF($B130="+",F130,6-F130))</f>
        <v/>
      </c>
      <c r="I130" s="16" t="s">
        <v>937</v>
      </c>
      <c r="J130" t="s">
        <v>1003</v>
      </c>
      <c r="K130" s="7" t="str">
        <f t="shared" ref="K130:K193" si="5">LEFT($C130,FIND("_",$C130)-1)</f>
        <v>A2</v>
      </c>
    </row>
    <row r="131" spans="1:11" s="6" customFormat="1" ht="28" customHeight="1">
      <c r="A131" s="4">
        <v>130</v>
      </c>
      <c r="B131" s="5" t="s">
        <v>11</v>
      </c>
      <c r="C131" s="5" t="s">
        <v>235</v>
      </c>
      <c r="D131" s="5" t="s">
        <v>236</v>
      </c>
      <c r="E131" s="5" t="s">
        <v>237</v>
      </c>
      <c r="F131" s="11"/>
      <c r="G131" t="s">
        <v>1057</v>
      </c>
      <c r="H131" s="12" t="str">
        <f t="shared" si="4"/>
        <v/>
      </c>
      <c r="I131" s="16" t="s">
        <v>939</v>
      </c>
      <c r="J131" t="s">
        <v>921</v>
      </c>
      <c r="K131" s="7" t="str">
        <f t="shared" si="5"/>
        <v>C2</v>
      </c>
    </row>
    <row r="132" spans="1:11" s="6" customFormat="1" ht="28" customHeight="1">
      <c r="A132" s="4">
        <v>131</v>
      </c>
      <c r="B132" s="5" t="s">
        <v>11</v>
      </c>
      <c r="C132" s="5" t="s">
        <v>625</v>
      </c>
      <c r="D132" s="5" t="s">
        <v>626</v>
      </c>
      <c r="E132" s="5" t="s">
        <v>627</v>
      </c>
      <c r="F132" s="11"/>
      <c r="G132" t="s">
        <v>1058</v>
      </c>
      <c r="H132" s="12" t="str">
        <f t="shared" si="4"/>
        <v/>
      </c>
      <c r="I132" s="16" t="s">
        <v>941</v>
      </c>
      <c r="J132" t="s">
        <v>921</v>
      </c>
      <c r="K132" s="7" t="str">
        <f t="shared" si="5"/>
        <v>N3</v>
      </c>
    </row>
    <row r="133" spans="1:11" s="6" customFormat="1" ht="28" customHeight="1">
      <c r="A133" s="4">
        <v>132</v>
      </c>
      <c r="B133" s="5" t="s">
        <v>11</v>
      </c>
      <c r="C133" s="5" t="s">
        <v>439</v>
      </c>
      <c r="D133" s="5" t="s">
        <v>440</v>
      </c>
      <c r="E133" s="5" t="s">
        <v>441</v>
      </c>
      <c r="F133" s="11"/>
      <c r="G133" t="s">
        <v>1059</v>
      </c>
      <c r="H133" s="12" t="str">
        <f t="shared" si="4"/>
        <v/>
      </c>
      <c r="I133" s="16" t="s">
        <v>943</v>
      </c>
      <c r="J133" t="s">
        <v>921</v>
      </c>
      <c r="K133" s="7" t="str">
        <f t="shared" si="5"/>
        <v>E3</v>
      </c>
    </row>
    <row r="134" spans="1:11" s="6" customFormat="1" ht="28" customHeight="1">
      <c r="A134" s="4">
        <v>133</v>
      </c>
      <c r="B134" s="5" t="s">
        <v>11</v>
      </c>
      <c r="C134" s="5" t="s">
        <v>805</v>
      </c>
      <c r="D134" s="5" t="s">
        <v>806</v>
      </c>
      <c r="E134" s="5" t="s">
        <v>807</v>
      </c>
      <c r="F134" s="11"/>
      <c r="G134" t="s">
        <v>1060</v>
      </c>
      <c r="H134" s="12" t="str">
        <f t="shared" si="4"/>
        <v/>
      </c>
      <c r="I134" s="16" t="s">
        <v>945</v>
      </c>
      <c r="J134" t="s">
        <v>921</v>
      </c>
      <c r="K134" s="7" t="str">
        <f t="shared" si="5"/>
        <v>O3</v>
      </c>
    </row>
    <row r="135" spans="1:11" s="6" customFormat="1" ht="28" customHeight="1">
      <c r="A135" s="4">
        <v>134</v>
      </c>
      <c r="B135" s="5" t="s">
        <v>11</v>
      </c>
      <c r="C135" s="5" t="s">
        <v>85</v>
      </c>
      <c r="D135" s="5" t="s">
        <v>86</v>
      </c>
      <c r="E135" s="5" t="s">
        <v>87</v>
      </c>
      <c r="F135" s="11"/>
      <c r="G135" t="s">
        <v>1061</v>
      </c>
      <c r="H135" s="12" t="str">
        <f t="shared" si="4"/>
        <v/>
      </c>
      <c r="I135" s="16" t="s">
        <v>947</v>
      </c>
      <c r="J135" t="s">
        <v>921</v>
      </c>
      <c r="K135" s="7" t="str">
        <f t="shared" si="5"/>
        <v>A3</v>
      </c>
    </row>
    <row r="136" spans="1:11" s="6" customFormat="1" ht="28" customHeight="1">
      <c r="A136" s="4">
        <v>135</v>
      </c>
      <c r="B136" s="5" t="s">
        <v>11</v>
      </c>
      <c r="C136" s="5" t="s">
        <v>265</v>
      </c>
      <c r="D136" s="5" t="s">
        <v>266</v>
      </c>
      <c r="E136" s="5" t="s">
        <v>267</v>
      </c>
      <c r="F136" s="11"/>
      <c r="G136" t="s">
        <v>1062</v>
      </c>
      <c r="H136" s="12" t="str">
        <f t="shared" si="4"/>
        <v/>
      </c>
      <c r="I136" s="16" t="s">
        <v>949</v>
      </c>
      <c r="J136" t="s">
        <v>921</v>
      </c>
      <c r="K136" s="7" t="str">
        <f t="shared" si="5"/>
        <v>C3</v>
      </c>
    </row>
    <row r="137" spans="1:11" s="6" customFormat="1" ht="28" customHeight="1">
      <c r="A137" s="4">
        <v>136</v>
      </c>
      <c r="B137" s="5" t="s">
        <v>11</v>
      </c>
      <c r="C137" s="5" t="s">
        <v>649</v>
      </c>
      <c r="D137" s="5" t="s">
        <v>650</v>
      </c>
      <c r="E137" s="5" t="s">
        <v>651</v>
      </c>
      <c r="F137" s="11"/>
      <c r="G137" t="s">
        <v>1063</v>
      </c>
      <c r="H137" s="12" t="str">
        <f t="shared" si="4"/>
        <v/>
      </c>
      <c r="I137" s="16" t="s">
        <v>951</v>
      </c>
      <c r="J137" t="s">
        <v>921</v>
      </c>
      <c r="K137" s="7" t="str">
        <f t="shared" si="5"/>
        <v>N4</v>
      </c>
    </row>
    <row r="138" spans="1:11" s="6" customFormat="1" ht="28" customHeight="1">
      <c r="A138" s="4">
        <v>137</v>
      </c>
      <c r="B138" s="5" t="s">
        <v>11</v>
      </c>
      <c r="C138" s="5" t="s">
        <v>475</v>
      </c>
      <c r="D138" s="5" t="s">
        <v>476</v>
      </c>
      <c r="E138" s="5" t="s">
        <v>477</v>
      </c>
      <c r="F138" s="11"/>
      <c r="G138" t="s">
        <v>1064</v>
      </c>
      <c r="H138" s="12" t="str">
        <f t="shared" si="4"/>
        <v/>
      </c>
      <c r="I138" s="16" t="s">
        <v>953</v>
      </c>
      <c r="J138" t="s">
        <v>921</v>
      </c>
      <c r="K138" s="7" t="str">
        <f t="shared" si="5"/>
        <v>E4</v>
      </c>
    </row>
    <row r="139" spans="1:11" s="6" customFormat="1" ht="28" customHeight="1">
      <c r="A139" s="4">
        <v>138</v>
      </c>
      <c r="B139" s="5" t="s">
        <v>30</v>
      </c>
      <c r="C139" s="5" t="s">
        <v>835</v>
      </c>
      <c r="D139" s="5" t="s">
        <v>836</v>
      </c>
      <c r="E139" s="5" t="s">
        <v>837</v>
      </c>
      <c r="F139" s="11"/>
      <c r="G139" t="s">
        <v>1065</v>
      </c>
      <c r="H139" s="12" t="str">
        <f t="shared" si="4"/>
        <v/>
      </c>
      <c r="I139" s="16" t="s">
        <v>955</v>
      </c>
      <c r="J139" t="s">
        <v>1003</v>
      </c>
      <c r="K139" s="7" t="str">
        <f t="shared" si="5"/>
        <v>O4</v>
      </c>
    </row>
    <row r="140" spans="1:11" s="6" customFormat="1" ht="28" customHeight="1">
      <c r="A140" s="4">
        <v>139</v>
      </c>
      <c r="B140" s="5" t="s">
        <v>30</v>
      </c>
      <c r="C140" s="5" t="s">
        <v>127</v>
      </c>
      <c r="D140" s="5" t="s">
        <v>128</v>
      </c>
      <c r="E140" s="5" t="s">
        <v>129</v>
      </c>
      <c r="F140" s="11"/>
      <c r="G140" t="s">
        <v>1066</v>
      </c>
      <c r="H140" s="12" t="str">
        <f t="shared" si="4"/>
        <v/>
      </c>
      <c r="I140" s="16" t="s">
        <v>957</v>
      </c>
      <c r="J140" t="s">
        <v>1003</v>
      </c>
      <c r="K140" s="7" t="str">
        <f t="shared" si="5"/>
        <v>A4</v>
      </c>
    </row>
    <row r="141" spans="1:11" s="6" customFormat="1" ht="28" customHeight="1">
      <c r="A141" s="4">
        <v>140</v>
      </c>
      <c r="B141" s="5" t="s">
        <v>11</v>
      </c>
      <c r="C141" s="5" t="s">
        <v>283</v>
      </c>
      <c r="D141" s="5" t="s">
        <v>284</v>
      </c>
      <c r="E141" s="5" t="s">
        <v>285</v>
      </c>
      <c r="F141" s="11"/>
      <c r="G141" t="s">
        <v>1067</v>
      </c>
      <c r="H141" s="12" t="str">
        <f t="shared" si="4"/>
        <v/>
      </c>
      <c r="I141" s="16" t="s">
        <v>959</v>
      </c>
      <c r="J141" t="s">
        <v>921</v>
      </c>
      <c r="K141" s="7" t="str">
        <f t="shared" si="5"/>
        <v>C4</v>
      </c>
    </row>
    <row r="142" spans="1:11" s="6" customFormat="1" ht="28" customHeight="1">
      <c r="A142" s="4">
        <v>141</v>
      </c>
      <c r="B142" s="5" t="s">
        <v>11</v>
      </c>
      <c r="C142" s="5" t="s">
        <v>685</v>
      </c>
      <c r="D142" s="5" t="s">
        <v>686</v>
      </c>
      <c r="E142" s="5" t="s">
        <v>687</v>
      </c>
      <c r="F142" s="11"/>
      <c r="G142" t="s">
        <v>1068</v>
      </c>
      <c r="H142" s="12" t="str">
        <f t="shared" si="4"/>
        <v/>
      </c>
      <c r="I142" s="16" t="s">
        <v>961</v>
      </c>
      <c r="J142" t="s">
        <v>921</v>
      </c>
      <c r="K142" s="7" t="str">
        <f t="shared" si="5"/>
        <v>N5</v>
      </c>
    </row>
    <row r="143" spans="1:11" s="6" customFormat="1" ht="28" customHeight="1">
      <c r="A143" s="4">
        <v>142</v>
      </c>
      <c r="B143" s="5" t="s">
        <v>11</v>
      </c>
      <c r="C143" s="5" t="s">
        <v>508</v>
      </c>
      <c r="D143" s="5" t="s">
        <v>509</v>
      </c>
      <c r="E143" s="5" t="s">
        <v>510</v>
      </c>
      <c r="F143" s="11"/>
      <c r="G143" t="s">
        <v>1069</v>
      </c>
      <c r="H143" s="12" t="str">
        <f t="shared" si="4"/>
        <v/>
      </c>
      <c r="I143" s="16" t="s">
        <v>963</v>
      </c>
      <c r="J143" t="s">
        <v>921</v>
      </c>
      <c r="K143" s="7" t="str">
        <f t="shared" si="5"/>
        <v>E5</v>
      </c>
    </row>
    <row r="144" spans="1:11" s="6" customFormat="1" ht="28" customHeight="1">
      <c r="A144" s="4">
        <v>143</v>
      </c>
      <c r="B144" s="5" t="s">
        <v>11</v>
      </c>
      <c r="C144" s="5" t="s">
        <v>865</v>
      </c>
      <c r="D144" s="5" t="s">
        <v>866</v>
      </c>
      <c r="E144" s="5" t="s">
        <v>867</v>
      </c>
      <c r="F144" s="11"/>
      <c r="G144" t="s">
        <v>964</v>
      </c>
      <c r="H144" s="12" t="str">
        <f t="shared" si="4"/>
        <v/>
      </c>
      <c r="I144" s="16" t="s">
        <v>965</v>
      </c>
      <c r="J144" t="s">
        <v>921</v>
      </c>
      <c r="K144" s="7" t="str">
        <f t="shared" si="5"/>
        <v>O5</v>
      </c>
    </row>
    <row r="145" spans="1:11" s="6" customFormat="1" ht="28" customHeight="1">
      <c r="A145" s="4">
        <v>144</v>
      </c>
      <c r="B145" s="5" t="s">
        <v>30</v>
      </c>
      <c r="C145" s="5" t="s">
        <v>145</v>
      </c>
      <c r="D145" s="5" t="s">
        <v>146</v>
      </c>
      <c r="E145" s="5" t="s">
        <v>147</v>
      </c>
      <c r="F145" s="11"/>
      <c r="G145" t="s">
        <v>1070</v>
      </c>
      <c r="H145" s="12" t="str">
        <f t="shared" si="4"/>
        <v/>
      </c>
      <c r="I145" s="16" t="s">
        <v>967</v>
      </c>
      <c r="J145" t="s">
        <v>1003</v>
      </c>
      <c r="K145" s="7" t="str">
        <f t="shared" si="5"/>
        <v>A5</v>
      </c>
    </row>
    <row r="146" spans="1:11" s="6" customFormat="1" ht="28" customHeight="1">
      <c r="A146" s="4">
        <v>145</v>
      </c>
      <c r="B146" s="5" t="s">
        <v>11</v>
      </c>
      <c r="C146" s="5" t="s">
        <v>316</v>
      </c>
      <c r="D146" s="5" t="s">
        <v>317</v>
      </c>
      <c r="E146" s="5" t="s">
        <v>318</v>
      </c>
      <c r="F146" s="11"/>
      <c r="G146" t="s">
        <v>1071</v>
      </c>
      <c r="H146" s="12" t="str">
        <f t="shared" si="4"/>
        <v/>
      </c>
      <c r="I146" s="16" t="s">
        <v>969</v>
      </c>
      <c r="J146" t="s">
        <v>921</v>
      </c>
      <c r="K146" s="7" t="str">
        <f t="shared" si="5"/>
        <v>C5</v>
      </c>
    </row>
    <row r="147" spans="1:11" s="6" customFormat="1" ht="28" customHeight="1">
      <c r="A147" s="4">
        <v>146</v>
      </c>
      <c r="B147" s="5" t="s">
        <v>11</v>
      </c>
      <c r="C147" s="5" t="s">
        <v>715</v>
      </c>
      <c r="D147" s="5" t="s">
        <v>716</v>
      </c>
      <c r="E147" s="5" t="s">
        <v>717</v>
      </c>
      <c r="F147" s="11"/>
      <c r="G147" t="s">
        <v>970</v>
      </c>
      <c r="H147" s="12" t="str">
        <f t="shared" si="4"/>
        <v/>
      </c>
      <c r="I147" s="16" t="s">
        <v>971</v>
      </c>
      <c r="J147" t="s">
        <v>921</v>
      </c>
      <c r="K147" s="7" t="str">
        <f t="shared" si="5"/>
        <v>N6</v>
      </c>
    </row>
    <row r="148" spans="1:11" s="6" customFormat="1" ht="28" customHeight="1">
      <c r="A148" s="4">
        <v>147</v>
      </c>
      <c r="B148" s="5" t="s">
        <v>11</v>
      </c>
      <c r="C148" s="5" t="s">
        <v>529</v>
      </c>
      <c r="D148" s="5" t="s">
        <v>530</v>
      </c>
      <c r="E148" s="5" t="s">
        <v>531</v>
      </c>
      <c r="F148" s="11"/>
      <c r="G148" t="s">
        <v>1072</v>
      </c>
      <c r="H148" s="12" t="str">
        <f t="shared" si="4"/>
        <v/>
      </c>
      <c r="I148" s="16" t="s">
        <v>973</v>
      </c>
      <c r="J148" t="s">
        <v>921</v>
      </c>
      <c r="K148" s="7" t="str">
        <f t="shared" si="5"/>
        <v>E6</v>
      </c>
    </row>
    <row r="149" spans="1:11" s="6" customFormat="1" ht="28" customHeight="1">
      <c r="A149" s="4">
        <v>148</v>
      </c>
      <c r="B149" s="5" t="s">
        <v>30</v>
      </c>
      <c r="C149" s="5" t="s">
        <v>892</v>
      </c>
      <c r="D149" s="5" t="s">
        <v>893</v>
      </c>
      <c r="E149" s="5" t="s">
        <v>894</v>
      </c>
      <c r="F149" s="11"/>
      <c r="G149" t="s">
        <v>974</v>
      </c>
      <c r="H149" s="12" t="str">
        <f t="shared" si="4"/>
        <v/>
      </c>
      <c r="I149" s="16" t="s">
        <v>975</v>
      </c>
      <c r="J149" t="s">
        <v>1003</v>
      </c>
      <c r="K149" s="7" t="str">
        <f t="shared" si="5"/>
        <v>O6</v>
      </c>
    </row>
    <row r="150" spans="1:11" s="6" customFormat="1" ht="28" customHeight="1">
      <c r="A150" s="4">
        <v>149</v>
      </c>
      <c r="B150" s="5" t="s">
        <v>30</v>
      </c>
      <c r="C150" s="5" t="s">
        <v>175</v>
      </c>
      <c r="D150" s="5" t="s">
        <v>176</v>
      </c>
      <c r="E150" s="5" t="s">
        <v>177</v>
      </c>
      <c r="F150" s="11"/>
      <c r="G150" t="s">
        <v>1073</v>
      </c>
      <c r="H150" s="12" t="str">
        <f t="shared" si="4"/>
        <v/>
      </c>
      <c r="I150" s="16" t="s">
        <v>977</v>
      </c>
      <c r="J150" t="s">
        <v>1003</v>
      </c>
      <c r="K150" s="7" t="str">
        <f t="shared" si="5"/>
        <v>A6</v>
      </c>
    </row>
    <row r="151" spans="1:11" s="6" customFormat="1" ht="28" customHeight="1">
      <c r="A151" s="4">
        <v>150</v>
      </c>
      <c r="B151" s="5" t="s">
        <v>30</v>
      </c>
      <c r="C151" s="5" t="s">
        <v>355</v>
      </c>
      <c r="D151" s="5" t="s">
        <v>356</v>
      </c>
      <c r="E151" s="5" t="s">
        <v>357</v>
      </c>
      <c r="F151" s="11"/>
      <c r="G151" t="s">
        <v>1048</v>
      </c>
      <c r="H151" s="12" t="str">
        <f t="shared" si="4"/>
        <v/>
      </c>
      <c r="I151" s="16" t="s">
        <v>979</v>
      </c>
      <c r="J151" t="s">
        <v>1003</v>
      </c>
      <c r="K151" s="7" t="str">
        <f t="shared" si="5"/>
        <v>C6</v>
      </c>
    </row>
    <row r="152" spans="1:11" s="6" customFormat="1" ht="28" customHeight="1">
      <c r="A152" s="4">
        <v>151</v>
      </c>
      <c r="B152" s="5" t="s">
        <v>30</v>
      </c>
      <c r="C152" s="5" t="s">
        <v>568</v>
      </c>
      <c r="D152" s="5" t="s">
        <v>569</v>
      </c>
      <c r="E152" s="5" t="s">
        <v>570</v>
      </c>
      <c r="F152" s="11"/>
      <c r="G152" t="s">
        <v>1074</v>
      </c>
      <c r="H152" s="12" t="str">
        <f t="shared" si="4"/>
        <v/>
      </c>
      <c r="I152" s="16" t="s">
        <v>920</v>
      </c>
      <c r="J152" t="s">
        <v>1003</v>
      </c>
      <c r="K152" s="7" t="str">
        <f t="shared" si="5"/>
        <v>N1</v>
      </c>
    </row>
    <row r="153" spans="1:11" s="6" customFormat="1" ht="28" customHeight="1">
      <c r="A153" s="4">
        <v>152</v>
      </c>
      <c r="B153" s="5" t="s">
        <v>30</v>
      </c>
      <c r="C153" s="5" t="s">
        <v>394</v>
      </c>
      <c r="D153" s="5" t="s">
        <v>395</v>
      </c>
      <c r="E153" s="5" t="s">
        <v>396</v>
      </c>
      <c r="F153" s="11"/>
      <c r="G153" t="s">
        <v>1075</v>
      </c>
      <c r="H153" s="12" t="str">
        <f t="shared" si="4"/>
        <v/>
      </c>
      <c r="I153" s="16" t="s">
        <v>923</v>
      </c>
      <c r="J153" t="s">
        <v>1003</v>
      </c>
      <c r="K153" s="7" t="str">
        <f t="shared" si="5"/>
        <v>E1</v>
      </c>
    </row>
    <row r="154" spans="1:11" s="6" customFormat="1" ht="28" customHeight="1">
      <c r="A154" s="4">
        <v>153</v>
      </c>
      <c r="B154" s="5" t="s">
        <v>11</v>
      </c>
      <c r="C154" s="5" t="s">
        <v>748</v>
      </c>
      <c r="D154" s="5" t="s">
        <v>749</v>
      </c>
      <c r="E154" s="5" t="s">
        <v>750</v>
      </c>
      <c r="F154" s="11"/>
      <c r="G154" t="s">
        <v>1076</v>
      </c>
      <c r="H154" s="12" t="str">
        <f t="shared" si="4"/>
        <v/>
      </c>
      <c r="I154" s="16" t="s">
        <v>925</v>
      </c>
      <c r="J154" t="s">
        <v>921</v>
      </c>
      <c r="K154" s="7" t="str">
        <f t="shared" si="5"/>
        <v>O1</v>
      </c>
    </row>
    <row r="155" spans="1:11" s="6" customFormat="1" ht="28" customHeight="1">
      <c r="A155" s="4">
        <v>154</v>
      </c>
      <c r="B155" s="5" t="s">
        <v>11</v>
      </c>
      <c r="C155" s="5" t="s">
        <v>27</v>
      </c>
      <c r="D155" s="5" t="s">
        <v>28</v>
      </c>
      <c r="E155" s="5" t="s">
        <v>29</v>
      </c>
      <c r="F155" s="11"/>
      <c r="G155" t="s">
        <v>1077</v>
      </c>
      <c r="H155" s="12" t="str">
        <f t="shared" si="4"/>
        <v/>
      </c>
      <c r="I155" s="16" t="s">
        <v>927</v>
      </c>
      <c r="J155" t="s">
        <v>921</v>
      </c>
      <c r="K155" s="7" t="str">
        <f t="shared" si="5"/>
        <v>A1</v>
      </c>
    </row>
    <row r="156" spans="1:11" s="6" customFormat="1" ht="28" customHeight="1">
      <c r="A156" s="4">
        <v>155</v>
      </c>
      <c r="B156" s="5" t="s">
        <v>11</v>
      </c>
      <c r="C156" s="5" t="s">
        <v>202</v>
      </c>
      <c r="D156" s="5" t="s">
        <v>203</v>
      </c>
      <c r="E156" s="5" t="s">
        <v>204</v>
      </c>
      <c r="F156" s="11"/>
      <c r="G156" t="s">
        <v>1078</v>
      </c>
      <c r="H156" s="12" t="str">
        <f t="shared" si="4"/>
        <v/>
      </c>
      <c r="I156" s="16" t="s">
        <v>929</v>
      </c>
      <c r="J156" t="s">
        <v>921</v>
      </c>
      <c r="K156" s="7" t="str">
        <f t="shared" si="5"/>
        <v>C1</v>
      </c>
    </row>
    <row r="157" spans="1:11" s="6" customFormat="1" ht="28" customHeight="1">
      <c r="A157" s="4">
        <v>156</v>
      </c>
      <c r="B157" s="5" t="s">
        <v>30</v>
      </c>
      <c r="C157" s="5" t="s">
        <v>601</v>
      </c>
      <c r="D157" s="5" t="s">
        <v>602</v>
      </c>
      <c r="E157" s="5" t="s">
        <v>603</v>
      </c>
      <c r="F157" s="11"/>
      <c r="G157" t="s">
        <v>930</v>
      </c>
      <c r="H157" s="12" t="str">
        <f t="shared" si="4"/>
        <v/>
      </c>
      <c r="I157" s="16" t="s">
        <v>931</v>
      </c>
      <c r="J157" t="s">
        <v>1003</v>
      </c>
      <c r="K157" s="7" t="str">
        <f t="shared" si="5"/>
        <v>N2</v>
      </c>
    </row>
    <row r="158" spans="1:11" s="6" customFormat="1" ht="28" customHeight="1">
      <c r="A158" s="4">
        <v>157</v>
      </c>
      <c r="B158" s="5" t="s">
        <v>30</v>
      </c>
      <c r="C158" s="5" t="s">
        <v>418</v>
      </c>
      <c r="D158" s="5" t="s">
        <v>419</v>
      </c>
      <c r="E158" s="5" t="s">
        <v>420</v>
      </c>
      <c r="F158" s="11"/>
      <c r="G158" t="s">
        <v>1079</v>
      </c>
      <c r="H158" s="12" t="str">
        <f t="shared" si="4"/>
        <v/>
      </c>
      <c r="I158" s="16" t="s">
        <v>933</v>
      </c>
      <c r="J158" t="s">
        <v>1003</v>
      </c>
      <c r="K158" s="7" t="str">
        <f t="shared" si="5"/>
        <v>E2</v>
      </c>
    </row>
    <row r="159" spans="1:11" s="6" customFormat="1" ht="28" customHeight="1">
      <c r="A159" s="4">
        <v>158</v>
      </c>
      <c r="B159" s="5" t="s">
        <v>30</v>
      </c>
      <c r="C159" s="5" t="s">
        <v>784</v>
      </c>
      <c r="D159" s="5" t="s">
        <v>785</v>
      </c>
      <c r="E159" s="5" t="s">
        <v>786</v>
      </c>
      <c r="F159" s="11"/>
      <c r="G159" t="s">
        <v>934</v>
      </c>
      <c r="H159" s="12" t="str">
        <f t="shared" si="4"/>
        <v/>
      </c>
      <c r="I159" s="16" t="s">
        <v>935</v>
      </c>
      <c r="J159" t="s">
        <v>1003</v>
      </c>
      <c r="K159" s="7" t="str">
        <f t="shared" si="5"/>
        <v>O2</v>
      </c>
    </row>
    <row r="160" spans="1:11" s="6" customFormat="1" ht="28" customHeight="1">
      <c r="A160" s="4">
        <v>159</v>
      </c>
      <c r="B160" s="5" t="s">
        <v>30</v>
      </c>
      <c r="C160" s="5" t="s">
        <v>52</v>
      </c>
      <c r="D160" s="5" t="s">
        <v>53</v>
      </c>
      <c r="E160" s="5" t="s">
        <v>54</v>
      </c>
      <c r="F160" s="11"/>
      <c r="G160" t="s">
        <v>936</v>
      </c>
      <c r="H160" s="12" t="str">
        <f t="shared" si="4"/>
        <v/>
      </c>
      <c r="I160" s="16" t="s">
        <v>937</v>
      </c>
      <c r="J160" t="s">
        <v>1003</v>
      </c>
      <c r="K160" s="7" t="str">
        <f t="shared" si="5"/>
        <v>A2</v>
      </c>
    </row>
    <row r="161" spans="1:11" s="6" customFormat="1" ht="28" customHeight="1">
      <c r="A161" s="4">
        <v>160</v>
      </c>
      <c r="B161" s="5" t="s">
        <v>30</v>
      </c>
      <c r="C161" s="5" t="s">
        <v>238</v>
      </c>
      <c r="D161" s="5" t="s">
        <v>239</v>
      </c>
      <c r="E161" s="5" t="s">
        <v>240</v>
      </c>
      <c r="F161" s="11"/>
      <c r="G161" t="s">
        <v>1080</v>
      </c>
      <c r="H161" s="12" t="str">
        <f t="shared" si="4"/>
        <v/>
      </c>
      <c r="I161" s="16" t="s">
        <v>939</v>
      </c>
      <c r="J161" t="s">
        <v>1003</v>
      </c>
      <c r="K161" s="7" t="str">
        <f t="shared" si="5"/>
        <v>C2</v>
      </c>
    </row>
    <row r="162" spans="1:11" s="6" customFormat="1" ht="28" customHeight="1">
      <c r="A162" s="4">
        <v>161</v>
      </c>
      <c r="B162" s="5" t="s">
        <v>11</v>
      </c>
      <c r="C162" s="5" t="s">
        <v>628</v>
      </c>
      <c r="D162" s="5" t="s">
        <v>629</v>
      </c>
      <c r="E162" s="5" t="s">
        <v>630</v>
      </c>
      <c r="F162" s="11"/>
      <c r="G162" t="s">
        <v>1081</v>
      </c>
      <c r="H162" s="12" t="str">
        <f t="shared" si="4"/>
        <v/>
      </c>
      <c r="I162" s="16" t="s">
        <v>941</v>
      </c>
      <c r="J162" t="s">
        <v>921</v>
      </c>
      <c r="K162" s="7" t="str">
        <f t="shared" si="5"/>
        <v>N3</v>
      </c>
    </row>
    <row r="163" spans="1:11" s="6" customFormat="1" ht="28" customHeight="1">
      <c r="A163" s="4">
        <v>162</v>
      </c>
      <c r="B163" s="5" t="s">
        <v>30</v>
      </c>
      <c r="C163" s="5" t="s">
        <v>448</v>
      </c>
      <c r="D163" s="5" t="s">
        <v>449</v>
      </c>
      <c r="E163" s="5" t="s">
        <v>450</v>
      </c>
      <c r="F163" s="11"/>
      <c r="G163" t="s">
        <v>942</v>
      </c>
      <c r="H163" s="12" t="str">
        <f t="shared" si="4"/>
        <v/>
      </c>
      <c r="I163" s="16" t="s">
        <v>943</v>
      </c>
      <c r="J163" t="s">
        <v>1003</v>
      </c>
      <c r="K163" s="7" t="str">
        <f t="shared" si="5"/>
        <v>E3</v>
      </c>
    </row>
    <row r="164" spans="1:11" s="6" customFormat="1" ht="28" customHeight="1">
      <c r="A164" s="4">
        <v>163</v>
      </c>
      <c r="B164" s="5" t="s">
        <v>30</v>
      </c>
      <c r="C164" s="5" t="s">
        <v>814</v>
      </c>
      <c r="D164" s="5" t="s">
        <v>815</v>
      </c>
      <c r="E164" s="5" t="s">
        <v>816</v>
      </c>
      <c r="F164" s="11"/>
      <c r="G164" t="s">
        <v>944</v>
      </c>
      <c r="H164" s="12" t="str">
        <f t="shared" si="4"/>
        <v/>
      </c>
      <c r="I164" s="16" t="s">
        <v>945</v>
      </c>
      <c r="J164" t="s">
        <v>1003</v>
      </c>
      <c r="K164" s="7" t="str">
        <f t="shared" si="5"/>
        <v>O3</v>
      </c>
    </row>
    <row r="165" spans="1:11" s="6" customFormat="1" ht="28" customHeight="1">
      <c r="A165" s="4">
        <v>164</v>
      </c>
      <c r="B165" s="5" t="s">
        <v>30</v>
      </c>
      <c r="C165" s="5" t="s">
        <v>94</v>
      </c>
      <c r="D165" s="5" t="s">
        <v>95</v>
      </c>
      <c r="E165" s="5" t="s">
        <v>96</v>
      </c>
      <c r="F165" s="11"/>
      <c r="G165" t="s">
        <v>1082</v>
      </c>
      <c r="H165" s="12" t="str">
        <f t="shared" si="4"/>
        <v/>
      </c>
      <c r="I165" s="16" t="s">
        <v>947</v>
      </c>
      <c r="J165" t="s">
        <v>1003</v>
      </c>
      <c r="K165" s="7" t="str">
        <f t="shared" si="5"/>
        <v>A3</v>
      </c>
    </row>
    <row r="166" spans="1:11" s="6" customFormat="1" ht="28" customHeight="1">
      <c r="A166" s="4">
        <v>165</v>
      </c>
      <c r="B166" s="5" t="s">
        <v>30</v>
      </c>
      <c r="C166" s="5" t="s">
        <v>268</v>
      </c>
      <c r="D166" s="5" t="s">
        <v>269</v>
      </c>
      <c r="E166" s="5" t="s">
        <v>270</v>
      </c>
      <c r="F166" s="11"/>
      <c r="G166" t="s">
        <v>948</v>
      </c>
      <c r="H166" s="12" t="str">
        <f t="shared" si="4"/>
        <v/>
      </c>
      <c r="I166" s="16" t="s">
        <v>949</v>
      </c>
      <c r="J166" t="s">
        <v>1003</v>
      </c>
      <c r="K166" s="7" t="str">
        <f t="shared" si="5"/>
        <v>C3</v>
      </c>
    </row>
    <row r="167" spans="1:11" s="6" customFormat="1" ht="28" customHeight="1">
      <c r="A167" s="4">
        <v>166</v>
      </c>
      <c r="B167" s="5" t="s">
        <v>11</v>
      </c>
      <c r="C167" s="5" t="s">
        <v>658</v>
      </c>
      <c r="D167" s="5" t="s">
        <v>659</v>
      </c>
      <c r="E167" s="5" t="s">
        <v>660</v>
      </c>
      <c r="F167" s="11"/>
      <c r="G167" t="s">
        <v>1083</v>
      </c>
      <c r="H167" s="12" t="str">
        <f t="shared" si="4"/>
        <v/>
      </c>
      <c r="I167" s="16" t="s">
        <v>951</v>
      </c>
      <c r="J167" t="s">
        <v>921</v>
      </c>
      <c r="K167" s="7" t="str">
        <f t="shared" si="5"/>
        <v>N4</v>
      </c>
    </row>
    <row r="168" spans="1:11" s="6" customFormat="1" ht="28" customHeight="1">
      <c r="A168" s="4">
        <v>167</v>
      </c>
      <c r="B168" s="5" t="s">
        <v>30</v>
      </c>
      <c r="C168" s="5" t="s">
        <v>478</v>
      </c>
      <c r="D168" s="5" t="s">
        <v>479</v>
      </c>
      <c r="E168" s="5" t="s">
        <v>480</v>
      </c>
      <c r="F168" s="11"/>
      <c r="G168" t="s">
        <v>1084</v>
      </c>
      <c r="H168" s="12" t="str">
        <f t="shared" si="4"/>
        <v/>
      </c>
      <c r="I168" s="16" t="s">
        <v>953</v>
      </c>
      <c r="J168" t="s">
        <v>1003</v>
      </c>
      <c r="K168" s="7" t="str">
        <f t="shared" si="5"/>
        <v>E4</v>
      </c>
    </row>
    <row r="169" spans="1:11" s="6" customFormat="1" ht="28" customHeight="1">
      <c r="A169" s="4">
        <v>168</v>
      </c>
      <c r="B169" s="5" t="s">
        <v>30</v>
      </c>
      <c r="C169" s="5" t="s">
        <v>838</v>
      </c>
      <c r="D169" s="5" t="s">
        <v>839</v>
      </c>
      <c r="E169" s="5" t="s">
        <v>840</v>
      </c>
      <c r="F169" s="11"/>
      <c r="G169" t="s">
        <v>954</v>
      </c>
      <c r="H169" s="12" t="str">
        <f t="shared" si="4"/>
        <v/>
      </c>
      <c r="I169" s="16" t="s">
        <v>955</v>
      </c>
      <c r="J169" t="s">
        <v>1003</v>
      </c>
      <c r="K169" s="7" t="str">
        <f t="shared" si="5"/>
        <v>O4</v>
      </c>
    </row>
    <row r="170" spans="1:11" s="6" customFormat="1" ht="28" customHeight="1">
      <c r="A170" s="4">
        <v>169</v>
      </c>
      <c r="B170" s="5" t="s">
        <v>30</v>
      </c>
      <c r="C170" s="5" t="s">
        <v>112</v>
      </c>
      <c r="D170" s="5" t="s">
        <v>113</v>
      </c>
      <c r="E170" s="5" t="s">
        <v>114</v>
      </c>
      <c r="F170" s="11"/>
      <c r="G170" t="s">
        <v>1085</v>
      </c>
      <c r="H170" s="12" t="str">
        <f t="shared" si="4"/>
        <v/>
      </c>
      <c r="I170" s="16" t="s">
        <v>957</v>
      </c>
      <c r="J170" t="s">
        <v>1003</v>
      </c>
      <c r="K170" s="7" t="str">
        <f t="shared" si="5"/>
        <v>A4</v>
      </c>
    </row>
    <row r="171" spans="1:11" s="6" customFormat="1" ht="28" customHeight="1">
      <c r="A171" s="4">
        <v>170</v>
      </c>
      <c r="B171" s="5" t="s">
        <v>11</v>
      </c>
      <c r="C171" s="5" t="s">
        <v>298</v>
      </c>
      <c r="D171" s="5" t="s">
        <v>299</v>
      </c>
      <c r="E171" s="5" t="s">
        <v>300</v>
      </c>
      <c r="F171" s="11"/>
      <c r="G171" t="s">
        <v>1086</v>
      </c>
      <c r="H171" s="12" t="str">
        <f t="shared" si="4"/>
        <v/>
      </c>
      <c r="I171" s="16" t="s">
        <v>959</v>
      </c>
      <c r="J171" t="s">
        <v>921</v>
      </c>
      <c r="K171" s="7" t="str">
        <f t="shared" si="5"/>
        <v>C4</v>
      </c>
    </row>
    <row r="172" spans="1:11" s="6" customFormat="1" ht="28" customHeight="1">
      <c r="A172" s="4">
        <v>171</v>
      </c>
      <c r="B172" s="5" t="s">
        <v>30</v>
      </c>
      <c r="C172" s="5" t="s">
        <v>688</v>
      </c>
      <c r="D172" s="5" t="s">
        <v>689</v>
      </c>
      <c r="E172" s="5" t="s">
        <v>690</v>
      </c>
      <c r="F172" s="11"/>
      <c r="G172" t="s">
        <v>960</v>
      </c>
      <c r="H172" s="12" t="str">
        <f t="shared" si="4"/>
        <v/>
      </c>
      <c r="I172" s="16" t="s">
        <v>961</v>
      </c>
      <c r="J172" t="s">
        <v>1003</v>
      </c>
      <c r="K172" s="7" t="str">
        <f t="shared" si="5"/>
        <v>N5</v>
      </c>
    </row>
    <row r="173" spans="1:11" s="6" customFormat="1" ht="28" customHeight="1">
      <c r="A173" s="4">
        <v>172</v>
      </c>
      <c r="B173" s="5" t="s">
        <v>11</v>
      </c>
      <c r="C173" s="5" t="s">
        <v>502</v>
      </c>
      <c r="D173" s="5" t="s">
        <v>503</v>
      </c>
      <c r="E173" s="5" t="s">
        <v>504</v>
      </c>
      <c r="F173" s="11"/>
      <c r="G173" t="s">
        <v>1087</v>
      </c>
      <c r="H173" s="12" t="str">
        <f t="shared" si="4"/>
        <v/>
      </c>
      <c r="I173" s="16" t="s">
        <v>963</v>
      </c>
      <c r="J173" t="s">
        <v>921</v>
      </c>
      <c r="K173" s="7" t="str">
        <f t="shared" si="5"/>
        <v>E5</v>
      </c>
    </row>
    <row r="174" spans="1:11" s="6" customFormat="1" ht="28" customHeight="1">
      <c r="A174" s="4">
        <v>173</v>
      </c>
      <c r="B174" s="5" t="s">
        <v>30</v>
      </c>
      <c r="C174" s="5" t="s">
        <v>877</v>
      </c>
      <c r="D174" s="5" t="s">
        <v>878</v>
      </c>
      <c r="E174" s="5" t="s">
        <v>879</v>
      </c>
      <c r="F174" s="11"/>
      <c r="G174" t="s">
        <v>964</v>
      </c>
      <c r="H174" s="12" t="str">
        <f t="shared" si="4"/>
        <v/>
      </c>
      <c r="I174" s="16" t="s">
        <v>965</v>
      </c>
      <c r="J174" t="s">
        <v>1003</v>
      </c>
      <c r="K174" s="7" t="str">
        <f t="shared" si="5"/>
        <v>O5</v>
      </c>
    </row>
    <row r="175" spans="1:11" s="6" customFormat="1" ht="28" customHeight="1">
      <c r="A175" s="4">
        <v>174</v>
      </c>
      <c r="B175" s="5" t="s">
        <v>30</v>
      </c>
      <c r="C175" s="5" t="s">
        <v>148</v>
      </c>
      <c r="D175" s="5" t="s">
        <v>149</v>
      </c>
      <c r="E175" s="5" t="s">
        <v>150</v>
      </c>
      <c r="F175" s="11"/>
      <c r="G175" t="s">
        <v>1088</v>
      </c>
      <c r="H175" s="12" t="str">
        <f t="shared" si="4"/>
        <v/>
      </c>
      <c r="I175" s="16" t="s">
        <v>967</v>
      </c>
      <c r="J175" t="s">
        <v>1003</v>
      </c>
      <c r="K175" s="7" t="str">
        <f t="shared" si="5"/>
        <v>A5</v>
      </c>
    </row>
    <row r="176" spans="1:11" s="6" customFormat="1" ht="28" customHeight="1">
      <c r="A176" s="4">
        <v>175</v>
      </c>
      <c r="B176" s="5" t="s">
        <v>30</v>
      </c>
      <c r="C176" s="5" t="s">
        <v>334</v>
      </c>
      <c r="D176" s="5" t="s">
        <v>335</v>
      </c>
      <c r="E176" s="5" t="s">
        <v>336</v>
      </c>
      <c r="F176" s="11"/>
      <c r="G176" t="s">
        <v>1089</v>
      </c>
      <c r="H176" s="12" t="str">
        <f t="shared" si="4"/>
        <v/>
      </c>
      <c r="I176" s="16" t="s">
        <v>969</v>
      </c>
      <c r="J176" t="s">
        <v>1003</v>
      </c>
      <c r="K176" s="7" t="str">
        <f t="shared" si="5"/>
        <v>C5</v>
      </c>
    </row>
    <row r="177" spans="1:11" s="6" customFormat="1" ht="28" customHeight="1">
      <c r="A177" s="4">
        <v>176</v>
      </c>
      <c r="B177" s="5" t="s">
        <v>30</v>
      </c>
      <c r="C177" s="5" t="s">
        <v>718</v>
      </c>
      <c r="D177" s="5" t="s">
        <v>719</v>
      </c>
      <c r="E177" s="5" t="s">
        <v>720</v>
      </c>
      <c r="F177" s="11"/>
      <c r="G177" t="s">
        <v>1090</v>
      </c>
      <c r="H177" s="12" t="str">
        <f t="shared" si="4"/>
        <v/>
      </c>
      <c r="I177" s="16" t="s">
        <v>971</v>
      </c>
      <c r="J177" t="s">
        <v>1003</v>
      </c>
      <c r="K177" s="7" t="str">
        <f t="shared" si="5"/>
        <v>N6</v>
      </c>
    </row>
    <row r="178" spans="1:11" s="6" customFormat="1" ht="28" customHeight="1">
      <c r="A178" s="4">
        <v>177</v>
      </c>
      <c r="B178" s="5" t="s">
        <v>11</v>
      </c>
      <c r="C178" s="5" t="s">
        <v>532</v>
      </c>
      <c r="D178" s="5" t="s">
        <v>533</v>
      </c>
      <c r="E178" s="5" t="s">
        <v>534</v>
      </c>
      <c r="F178" s="11"/>
      <c r="G178" t="s">
        <v>1091</v>
      </c>
      <c r="H178" s="12" t="str">
        <f t="shared" si="4"/>
        <v/>
      </c>
      <c r="I178" s="16" t="s">
        <v>973</v>
      </c>
      <c r="J178" t="s">
        <v>921</v>
      </c>
      <c r="K178" s="7" t="str">
        <f t="shared" si="5"/>
        <v>E6</v>
      </c>
    </row>
    <row r="179" spans="1:11" s="6" customFormat="1" ht="28" customHeight="1">
      <c r="A179" s="4">
        <v>178</v>
      </c>
      <c r="B179" s="5" t="s">
        <v>30</v>
      </c>
      <c r="C179" s="5" t="s">
        <v>901</v>
      </c>
      <c r="D179" s="5" t="s">
        <v>902</v>
      </c>
      <c r="E179" s="5" t="s">
        <v>903</v>
      </c>
      <c r="F179" s="11"/>
      <c r="G179" t="s">
        <v>1092</v>
      </c>
      <c r="H179" s="12" t="str">
        <f t="shared" si="4"/>
        <v/>
      </c>
      <c r="I179" s="16" t="s">
        <v>975</v>
      </c>
      <c r="J179" t="s">
        <v>1003</v>
      </c>
      <c r="K179" s="7" t="str">
        <f t="shared" si="5"/>
        <v>O6</v>
      </c>
    </row>
    <row r="180" spans="1:11" s="6" customFormat="1" ht="28" customHeight="1">
      <c r="A180" s="4">
        <v>179</v>
      </c>
      <c r="B180" s="5" t="s">
        <v>30</v>
      </c>
      <c r="C180" s="5" t="s">
        <v>181</v>
      </c>
      <c r="D180" s="5" t="s">
        <v>182</v>
      </c>
      <c r="E180" s="5" t="s">
        <v>183</v>
      </c>
      <c r="F180" s="11"/>
      <c r="G180" t="s">
        <v>1093</v>
      </c>
      <c r="H180" s="12" t="str">
        <f t="shared" si="4"/>
        <v/>
      </c>
      <c r="I180" s="16" t="s">
        <v>977</v>
      </c>
      <c r="J180" t="s">
        <v>1003</v>
      </c>
      <c r="K180" s="7" t="str">
        <f t="shared" si="5"/>
        <v>A6</v>
      </c>
    </row>
    <row r="181" spans="1:11" s="6" customFormat="1" ht="28" customHeight="1">
      <c r="A181" s="4">
        <v>180</v>
      </c>
      <c r="B181" s="5" t="s">
        <v>30</v>
      </c>
      <c r="C181" s="5" t="s">
        <v>364</v>
      </c>
      <c r="D181" s="5" t="s">
        <v>365</v>
      </c>
      <c r="E181" s="5" t="s">
        <v>366</v>
      </c>
      <c r="F181" s="11"/>
      <c r="G181" t="s">
        <v>1094</v>
      </c>
      <c r="H181" s="12" t="str">
        <f t="shared" si="4"/>
        <v/>
      </c>
      <c r="I181" s="16" t="s">
        <v>979</v>
      </c>
      <c r="J181" t="s">
        <v>1003</v>
      </c>
      <c r="K181" s="7" t="str">
        <f t="shared" si="5"/>
        <v>C6</v>
      </c>
    </row>
    <row r="182" spans="1:11" s="6" customFormat="1" ht="28" customHeight="1">
      <c r="A182" s="4">
        <v>181</v>
      </c>
      <c r="B182" s="5" t="s">
        <v>30</v>
      </c>
      <c r="C182" s="5" t="s">
        <v>571</v>
      </c>
      <c r="D182" s="5" t="s">
        <v>572</v>
      </c>
      <c r="E182" s="5" t="s">
        <v>573</v>
      </c>
      <c r="F182" s="11"/>
      <c r="G182" t="s">
        <v>1095</v>
      </c>
      <c r="H182" s="12" t="str">
        <f t="shared" si="4"/>
        <v/>
      </c>
      <c r="I182" s="16" t="s">
        <v>920</v>
      </c>
      <c r="J182" t="s">
        <v>1003</v>
      </c>
      <c r="K182" s="7" t="str">
        <f t="shared" si="5"/>
        <v>N1</v>
      </c>
    </row>
    <row r="183" spans="1:11" s="6" customFormat="1" ht="28" customHeight="1">
      <c r="A183" s="4">
        <v>182</v>
      </c>
      <c r="B183" s="5" t="s">
        <v>30</v>
      </c>
      <c r="C183" s="5" t="s">
        <v>397</v>
      </c>
      <c r="D183" s="5" t="s">
        <v>398</v>
      </c>
      <c r="E183" s="5" t="s">
        <v>399</v>
      </c>
      <c r="F183" s="11"/>
      <c r="G183" t="s">
        <v>1096</v>
      </c>
      <c r="H183" s="12" t="str">
        <f t="shared" si="4"/>
        <v/>
      </c>
      <c r="I183" s="16" t="s">
        <v>923</v>
      </c>
      <c r="J183" t="s">
        <v>1003</v>
      </c>
      <c r="K183" s="7" t="str">
        <f t="shared" si="5"/>
        <v>E1</v>
      </c>
    </row>
    <row r="184" spans="1:11" s="6" customFormat="1" ht="28" customHeight="1">
      <c r="A184" s="4">
        <v>183</v>
      </c>
      <c r="B184" s="5" t="s">
        <v>30</v>
      </c>
      <c r="C184" s="5" t="s">
        <v>751</v>
      </c>
      <c r="D184" s="5" t="s">
        <v>752</v>
      </c>
      <c r="E184" s="5" t="s">
        <v>753</v>
      </c>
      <c r="F184" s="11"/>
      <c r="G184" t="s">
        <v>924</v>
      </c>
      <c r="H184" s="12" t="str">
        <f t="shared" si="4"/>
        <v/>
      </c>
      <c r="I184" s="16" t="s">
        <v>925</v>
      </c>
      <c r="J184" t="s">
        <v>1003</v>
      </c>
      <c r="K184" s="7" t="str">
        <f t="shared" si="5"/>
        <v>O1</v>
      </c>
    </row>
    <row r="185" spans="1:11" s="6" customFormat="1" ht="28" customHeight="1">
      <c r="A185" s="4">
        <v>184</v>
      </c>
      <c r="B185" s="5" t="s">
        <v>30</v>
      </c>
      <c r="C185" s="5" t="s">
        <v>31</v>
      </c>
      <c r="D185" s="5" t="s">
        <v>32</v>
      </c>
      <c r="E185" s="5" t="s">
        <v>33</v>
      </c>
      <c r="F185" s="11"/>
      <c r="G185" t="s">
        <v>926</v>
      </c>
      <c r="H185" s="12" t="str">
        <f t="shared" si="4"/>
        <v/>
      </c>
      <c r="I185" s="16" t="s">
        <v>927</v>
      </c>
      <c r="J185" t="s">
        <v>1003</v>
      </c>
      <c r="K185" s="7" t="str">
        <f t="shared" si="5"/>
        <v>A1</v>
      </c>
    </row>
    <row r="186" spans="1:11" s="6" customFormat="1" ht="28" customHeight="1">
      <c r="A186" s="4">
        <v>185</v>
      </c>
      <c r="B186" s="5" t="s">
        <v>30</v>
      </c>
      <c r="C186" s="5" t="s">
        <v>211</v>
      </c>
      <c r="D186" s="5" t="s">
        <v>212</v>
      </c>
      <c r="E186" s="5" t="s">
        <v>213</v>
      </c>
      <c r="F186" s="11"/>
      <c r="G186" t="s">
        <v>1097</v>
      </c>
      <c r="H186" s="12" t="str">
        <f t="shared" si="4"/>
        <v/>
      </c>
      <c r="I186" s="16" t="s">
        <v>929</v>
      </c>
      <c r="J186" t="s">
        <v>1003</v>
      </c>
      <c r="K186" s="7" t="str">
        <f t="shared" si="5"/>
        <v>C1</v>
      </c>
    </row>
    <row r="187" spans="1:11" s="6" customFormat="1" ht="28" customHeight="1">
      <c r="A187" s="4">
        <v>186</v>
      </c>
      <c r="B187" s="5" t="s">
        <v>30</v>
      </c>
      <c r="C187" s="5" t="s">
        <v>604</v>
      </c>
      <c r="D187" s="5" t="s">
        <v>605</v>
      </c>
      <c r="E187" s="5" t="s">
        <v>606</v>
      </c>
      <c r="F187" s="11"/>
      <c r="G187" t="s">
        <v>930</v>
      </c>
      <c r="H187" s="12" t="str">
        <f t="shared" si="4"/>
        <v/>
      </c>
      <c r="I187" s="16" t="s">
        <v>931</v>
      </c>
      <c r="J187" t="s">
        <v>1003</v>
      </c>
      <c r="K187" s="7" t="str">
        <f t="shared" si="5"/>
        <v>N2</v>
      </c>
    </row>
    <row r="188" spans="1:11" s="6" customFormat="1" ht="28" customHeight="1">
      <c r="A188" s="4">
        <v>187</v>
      </c>
      <c r="B188" s="5" t="s">
        <v>30</v>
      </c>
      <c r="C188" s="5" t="s">
        <v>424</v>
      </c>
      <c r="D188" s="5" t="s">
        <v>425</v>
      </c>
      <c r="E188" s="5" t="s">
        <v>426</v>
      </c>
      <c r="F188" s="11"/>
      <c r="G188" t="s">
        <v>1079</v>
      </c>
      <c r="H188" s="12" t="str">
        <f t="shared" si="4"/>
        <v/>
      </c>
      <c r="I188" s="16" t="s">
        <v>933</v>
      </c>
      <c r="J188" t="s">
        <v>1003</v>
      </c>
      <c r="K188" s="7" t="str">
        <f t="shared" si="5"/>
        <v>E2</v>
      </c>
    </row>
    <row r="189" spans="1:11" s="6" customFormat="1" ht="28" customHeight="1">
      <c r="A189" s="4">
        <v>188</v>
      </c>
      <c r="B189" s="5" t="s">
        <v>30</v>
      </c>
      <c r="C189" s="5" t="s">
        <v>778</v>
      </c>
      <c r="D189" s="5" t="s">
        <v>779</v>
      </c>
      <c r="E189" s="5" t="s">
        <v>780</v>
      </c>
      <c r="F189" s="11"/>
      <c r="G189" t="s">
        <v>934</v>
      </c>
      <c r="H189" s="12" t="str">
        <f t="shared" si="4"/>
        <v/>
      </c>
      <c r="I189" s="16" t="s">
        <v>935</v>
      </c>
      <c r="J189" t="s">
        <v>1003</v>
      </c>
      <c r="K189" s="7" t="str">
        <f t="shared" si="5"/>
        <v>O2</v>
      </c>
    </row>
    <row r="190" spans="1:11" s="6" customFormat="1" ht="28" customHeight="1">
      <c r="A190" s="4">
        <v>189</v>
      </c>
      <c r="B190" s="5" t="s">
        <v>30</v>
      </c>
      <c r="C190" s="5" t="s">
        <v>67</v>
      </c>
      <c r="D190" s="5" t="s">
        <v>68</v>
      </c>
      <c r="E190" s="5" t="s">
        <v>69</v>
      </c>
      <c r="F190" s="11"/>
      <c r="G190" t="s">
        <v>1098</v>
      </c>
      <c r="H190" s="12" t="str">
        <f t="shared" si="4"/>
        <v/>
      </c>
      <c r="I190" s="16" t="s">
        <v>937</v>
      </c>
      <c r="J190" t="s">
        <v>1003</v>
      </c>
      <c r="K190" s="7" t="str">
        <f t="shared" si="5"/>
        <v>A2</v>
      </c>
    </row>
    <row r="191" spans="1:11" s="6" customFormat="1" ht="28" customHeight="1">
      <c r="A191" s="4">
        <v>190</v>
      </c>
      <c r="B191" s="5" t="s">
        <v>30</v>
      </c>
      <c r="C191" s="5" t="s">
        <v>241</v>
      </c>
      <c r="D191" s="5" t="s">
        <v>242</v>
      </c>
      <c r="E191" s="5" t="s">
        <v>243</v>
      </c>
      <c r="F191" s="11"/>
      <c r="G191" t="s">
        <v>938</v>
      </c>
      <c r="H191" s="12" t="str">
        <f t="shared" si="4"/>
        <v/>
      </c>
      <c r="I191" s="16" t="s">
        <v>939</v>
      </c>
      <c r="J191" t="s">
        <v>1003</v>
      </c>
      <c r="K191" s="7" t="str">
        <f t="shared" si="5"/>
        <v>C2</v>
      </c>
    </row>
    <row r="192" spans="1:11" s="6" customFormat="1" ht="28" customHeight="1">
      <c r="A192" s="4">
        <v>191</v>
      </c>
      <c r="B192" s="5" t="s">
        <v>11</v>
      </c>
      <c r="C192" s="5" t="s">
        <v>631</v>
      </c>
      <c r="D192" s="5" t="s">
        <v>632</v>
      </c>
      <c r="E192" s="5" t="s">
        <v>633</v>
      </c>
      <c r="F192" s="11"/>
      <c r="G192" t="s">
        <v>1099</v>
      </c>
      <c r="H192" s="12" t="str">
        <f t="shared" si="4"/>
        <v/>
      </c>
      <c r="I192" s="16" t="s">
        <v>941</v>
      </c>
      <c r="J192" t="s">
        <v>921</v>
      </c>
      <c r="K192" s="7" t="str">
        <f t="shared" si="5"/>
        <v>N3</v>
      </c>
    </row>
    <row r="193" spans="1:11" s="6" customFormat="1" ht="28" customHeight="1">
      <c r="A193" s="4">
        <v>192</v>
      </c>
      <c r="B193" s="5" t="s">
        <v>30</v>
      </c>
      <c r="C193" s="5" t="s">
        <v>451</v>
      </c>
      <c r="D193" s="5" t="s">
        <v>452</v>
      </c>
      <c r="E193" s="5" t="s">
        <v>453</v>
      </c>
      <c r="F193" s="11"/>
      <c r="G193" t="s">
        <v>1100</v>
      </c>
      <c r="H193" s="12" t="str">
        <f t="shared" si="4"/>
        <v/>
      </c>
      <c r="I193" s="16" t="s">
        <v>943</v>
      </c>
      <c r="J193" t="s">
        <v>1003</v>
      </c>
      <c r="K193" s="7" t="str">
        <f t="shared" si="5"/>
        <v>E3</v>
      </c>
    </row>
    <row r="194" spans="1:11" s="6" customFormat="1" ht="28" customHeight="1">
      <c r="A194" s="4">
        <v>193</v>
      </c>
      <c r="B194" s="5" t="s">
        <v>30</v>
      </c>
      <c r="C194" s="5" t="s">
        <v>817</v>
      </c>
      <c r="D194" s="5" t="s">
        <v>818</v>
      </c>
      <c r="E194" s="5" t="s">
        <v>819</v>
      </c>
      <c r="F194" s="11"/>
      <c r="G194" t="s">
        <v>944</v>
      </c>
      <c r="H194" s="12" t="str">
        <f t="shared" ref="H194:H257" si="6">IF(ISBLANK(F194),"",IF($B194="+",F194,6-F194))</f>
        <v/>
      </c>
      <c r="I194" s="16" t="s">
        <v>945</v>
      </c>
      <c r="J194" t="s">
        <v>1003</v>
      </c>
      <c r="K194" s="7" t="str">
        <f t="shared" ref="K194:K257" si="7">LEFT($C194,FIND("_",$C194)-1)</f>
        <v>O3</v>
      </c>
    </row>
    <row r="195" spans="1:11" s="6" customFormat="1" ht="28" customHeight="1">
      <c r="A195" s="4">
        <v>194</v>
      </c>
      <c r="B195" s="5" t="s">
        <v>30</v>
      </c>
      <c r="C195" s="5" t="s">
        <v>88</v>
      </c>
      <c r="D195" s="5" t="s">
        <v>89</v>
      </c>
      <c r="E195" s="5" t="s">
        <v>90</v>
      </c>
      <c r="F195" s="11"/>
      <c r="G195" t="s">
        <v>1101</v>
      </c>
      <c r="H195" s="12" t="str">
        <f t="shared" si="6"/>
        <v/>
      </c>
      <c r="I195" s="16" t="s">
        <v>947</v>
      </c>
      <c r="J195" t="s">
        <v>1003</v>
      </c>
      <c r="K195" s="7" t="str">
        <f t="shared" si="7"/>
        <v>A3</v>
      </c>
    </row>
    <row r="196" spans="1:11" s="6" customFormat="1" ht="28" customHeight="1">
      <c r="A196" s="4">
        <v>195</v>
      </c>
      <c r="B196" s="5" t="s">
        <v>30</v>
      </c>
      <c r="C196" s="5" t="s">
        <v>271</v>
      </c>
      <c r="D196" s="5" t="s">
        <v>272</v>
      </c>
      <c r="E196" s="5" t="s">
        <v>273</v>
      </c>
      <c r="F196" s="11"/>
      <c r="G196" t="s">
        <v>948</v>
      </c>
      <c r="H196" s="12" t="str">
        <f t="shared" si="6"/>
        <v/>
      </c>
      <c r="I196" s="16" t="s">
        <v>949</v>
      </c>
      <c r="J196" t="s">
        <v>1003</v>
      </c>
      <c r="K196" s="7" t="str">
        <f t="shared" si="7"/>
        <v>C3</v>
      </c>
    </row>
    <row r="197" spans="1:11" s="6" customFormat="1" ht="28" customHeight="1">
      <c r="A197" s="4">
        <v>196</v>
      </c>
      <c r="B197" s="5" t="s">
        <v>30</v>
      </c>
      <c r="C197" s="5" t="s">
        <v>664</v>
      </c>
      <c r="D197" s="5" t="s">
        <v>665</v>
      </c>
      <c r="E197" s="5" t="s">
        <v>666</v>
      </c>
      <c r="F197" s="11"/>
      <c r="G197" t="s">
        <v>1102</v>
      </c>
      <c r="H197" s="12" t="str">
        <f t="shared" si="6"/>
        <v/>
      </c>
      <c r="I197" s="16" t="s">
        <v>951</v>
      </c>
      <c r="J197" t="s">
        <v>1003</v>
      </c>
      <c r="K197" s="7" t="str">
        <f t="shared" si="7"/>
        <v>N4</v>
      </c>
    </row>
    <row r="198" spans="1:11" s="6" customFormat="1" ht="28" customHeight="1">
      <c r="A198" s="4">
        <v>197</v>
      </c>
      <c r="B198" s="5" t="s">
        <v>30</v>
      </c>
      <c r="C198" s="5" t="s">
        <v>481</v>
      </c>
      <c r="D198" s="5" t="s">
        <v>482</v>
      </c>
      <c r="E198" s="5" t="s">
        <v>483</v>
      </c>
      <c r="F198" s="11"/>
      <c r="G198" t="s">
        <v>1103</v>
      </c>
      <c r="H198" s="12" t="str">
        <f t="shared" si="6"/>
        <v/>
      </c>
      <c r="I198" s="16" t="s">
        <v>953</v>
      </c>
      <c r="J198" t="s">
        <v>1003</v>
      </c>
      <c r="K198" s="7" t="str">
        <f t="shared" si="7"/>
        <v>E4</v>
      </c>
    </row>
    <row r="199" spans="1:11" s="6" customFormat="1" ht="28" customHeight="1">
      <c r="A199" s="4">
        <v>198</v>
      </c>
      <c r="B199" s="5" t="s">
        <v>30</v>
      </c>
      <c r="C199" s="5" t="s">
        <v>844</v>
      </c>
      <c r="D199" s="5" t="s">
        <v>845</v>
      </c>
      <c r="E199" s="5" t="s">
        <v>846</v>
      </c>
      <c r="F199" s="11"/>
      <c r="G199" t="s">
        <v>954</v>
      </c>
      <c r="H199" s="12" t="str">
        <f t="shared" si="6"/>
        <v/>
      </c>
      <c r="I199" s="16" t="s">
        <v>955</v>
      </c>
      <c r="J199" t="s">
        <v>1003</v>
      </c>
      <c r="K199" s="7" t="str">
        <f t="shared" si="7"/>
        <v>O4</v>
      </c>
    </row>
    <row r="200" spans="1:11" s="6" customFormat="1" ht="28" customHeight="1">
      <c r="A200" s="4">
        <v>199</v>
      </c>
      <c r="B200" s="5" t="s">
        <v>30</v>
      </c>
      <c r="C200" s="5" t="s">
        <v>115</v>
      </c>
      <c r="D200" s="5" t="s">
        <v>116</v>
      </c>
      <c r="E200" s="5" t="s">
        <v>117</v>
      </c>
      <c r="F200" s="11"/>
      <c r="G200" t="s">
        <v>1104</v>
      </c>
      <c r="H200" s="12" t="str">
        <f t="shared" si="6"/>
        <v/>
      </c>
      <c r="I200" s="16" t="s">
        <v>957</v>
      </c>
      <c r="J200" t="s">
        <v>1003</v>
      </c>
      <c r="K200" s="7" t="str">
        <f t="shared" si="7"/>
        <v>A4</v>
      </c>
    </row>
    <row r="201" spans="1:11" s="6" customFormat="1" ht="28" customHeight="1">
      <c r="A201" s="4">
        <v>200</v>
      </c>
      <c r="B201" s="5" t="s">
        <v>11</v>
      </c>
      <c r="C201" s="5" t="s">
        <v>301</v>
      </c>
      <c r="D201" s="5" t="s">
        <v>302</v>
      </c>
      <c r="E201" s="5" t="s">
        <v>303</v>
      </c>
      <c r="F201" s="11"/>
      <c r="G201" t="s">
        <v>1105</v>
      </c>
      <c r="H201" s="12" t="str">
        <f t="shared" si="6"/>
        <v/>
      </c>
      <c r="I201" s="16" t="s">
        <v>959</v>
      </c>
      <c r="J201" t="s">
        <v>921</v>
      </c>
      <c r="K201" s="7" t="str">
        <f t="shared" si="7"/>
        <v>C4</v>
      </c>
    </row>
    <row r="202" spans="1:11" s="6" customFormat="1" ht="28" customHeight="1">
      <c r="A202" s="4">
        <v>201</v>
      </c>
      <c r="B202" s="5" t="s">
        <v>30</v>
      </c>
      <c r="C202" s="5" t="s">
        <v>691</v>
      </c>
      <c r="D202" s="5" t="s">
        <v>692</v>
      </c>
      <c r="E202" s="5" t="s">
        <v>693</v>
      </c>
      <c r="F202" s="11"/>
      <c r="G202" t="s">
        <v>1106</v>
      </c>
      <c r="H202" s="12" t="str">
        <f t="shared" si="6"/>
        <v/>
      </c>
      <c r="I202" s="16" t="s">
        <v>961</v>
      </c>
      <c r="J202" t="s">
        <v>1003</v>
      </c>
      <c r="K202" s="7" t="str">
        <f t="shared" si="7"/>
        <v>N5</v>
      </c>
    </row>
    <row r="203" spans="1:11" s="6" customFormat="1" ht="28" customHeight="1">
      <c r="A203" s="4">
        <v>202</v>
      </c>
      <c r="B203" s="5" t="s">
        <v>11</v>
      </c>
      <c r="C203" s="5" t="s">
        <v>511</v>
      </c>
      <c r="D203" s="5" t="s">
        <v>512</v>
      </c>
      <c r="E203" s="5" t="s">
        <v>513</v>
      </c>
      <c r="F203" s="11"/>
      <c r="G203" t="s">
        <v>1107</v>
      </c>
      <c r="H203" s="12" t="str">
        <f t="shared" si="6"/>
        <v/>
      </c>
      <c r="I203" s="16" t="s">
        <v>963</v>
      </c>
      <c r="J203" t="s">
        <v>921</v>
      </c>
      <c r="K203" s="7" t="str">
        <f t="shared" si="7"/>
        <v>E5</v>
      </c>
    </row>
    <row r="204" spans="1:11" s="6" customFormat="1" ht="28" customHeight="1">
      <c r="A204" s="4">
        <v>203</v>
      </c>
      <c r="B204" s="5" t="s">
        <v>30</v>
      </c>
      <c r="C204" s="5" t="s">
        <v>868</v>
      </c>
      <c r="D204" s="5" t="s">
        <v>869</v>
      </c>
      <c r="E204" s="5" t="s">
        <v>870</v>
      </c>
      <c r="F204" s="11"/>
      <c r="G204" t="s">
        <v>964</v>
      </c>
      <c r="H204" s="12" t="str">
        <f t="shared" si="6"/>
        <v/>
      </c>
      <c r="I204" s="16" t="s">
        <v>965</v>
      </c>
      <c r="J204" t="s">
        <v>1003</v>
      </c>
      <c r="K204" s="7" t="str">
        <f t="shared" si="7"/>
        <v>O5</v>
      </c>
    </row>
    <row r="205" spans="1:11" s="6" customFormat="1" ht="28" customHeight="1">
      <c r="A205" s="4">
        <v>204</v>
      </c>
      <c r="B205" s="5" t="s">
        <v>30</v>
      </c>
      <c r="C205" s="5" t="s">
        <v>151</v>
      </c>
      <c r="D205" s="5" t="s">
        <v>152</v>
      </c>
      <c r="E205" s="5" t="s">
        <v>153</v>
      </c>
      <c r="F205" s="11"/>
      <c r="G205" t="s">
        <v>1108</v>
      </c>
      <c r="H205" s="12" t="str">
        <f t="shared" si="6"/>
        <v/>
      </c>
      <c r="I205" s="16" t="s">
        <v>967</v>
      </c>
      <c r="J205" t="s">
        <v>1003</v>
      </c>
      <c r="K205" s="7" t="str">
        <f t="shared" si="7"/>
        <v>A5</v>
      </c>
    </row>
    <row r="206" spans="1:11" s="6" customFormat="1" ht="28" customHeight="1">
      <c r="A206" s="4">
        <v>205</v>
      </c>
      <c r="B206" s="5" t="s">
        <v>30</v>
      </c>
      <c r="C206" s="5" t="s">
        <v>328</v>
      </c>
      <c r="D206" s="5" t="s">
        <v>329</v>
      </c>
      <c r="E206" s="5" t="s">
        <v>330</v>
      </c>
      <c r="F206" s="11"/>
      <c r="G206" t="s">
        <v>1109</v>
      </c>
      <c r="H206" s="12" t="str">
        <f t="shared" si="6"/>
        <v/>
      </c>
      <c r="I206" s="16" t="s">
        <v>969</v>
      </c>
      <c r="J206" t="s">
        <v>1003</v>
      </c>
      <c r="K206" s="7" t="str">
        <f t="shared" si="7"/>
        <v>C5</v>
      </c>
    </row>
    <row r="207" spans="1:11" s="6" customFormat="1" ht="28" customHeight="1">
      <c r="A207" s="4">
        <v>206</v>
      </c>
      <c r="B207" s="5" t="s">
        <v>30</v>
      </c>
      <c r="C207" s="5" t="s">
        <v>721</v>
      </c>
      <c r="D207" s="5" t="s">
        <v>722</v>
      </c>
      <c r="E207" s="5" t="s">
        <v>723</v>
      </c>
      <c r="F207" s="11"/>
      <c r="G207" t="s">
        <v>970</v>
      </c>
      <c r="H207" s="12" t="str">
        <f t="shared" si="6"/>
        <v/>
      </c>
      <c r="I207" s="16" t="s">
        <v>971</v>
      </c>
      <c r="J207" t="s">
        <v>1003</v>
      </c>
      <c r="K207" s="7" t="str">
        <f t="shared" si="7"/>
        <v>N6</v>
      </c>
    </row>
    <row r="208" spans="1:11" s="6" customFormat="1" ht="28" customHeight="1">
      <c r="A208" s="4">
        <v>207</v>
      </c>
      <c r="B208" s="5" t="s">
        <v>11</v>
      </c>
      <c r="C208" s="5" t="s">
        <v>541</v>
      </c>
      <c r="D208" s="5" t="s">
        <v>542</v>
      </c>
      <c r="E208" s="5" t="s">
        <v>543</v>
      </c>
      <c r="F208" s="11"/>
      <c r="G208" t="s">
        <v>972</v>
      </c>
      <c r="H208" s="12" t="str">
        <f t="shared" si="6"/>
        <v/>
      </c>
      <c r="I208" s="16" t="s">
        <v>973</v>
      </c>
      <c r="J208" t="s">
        <v>921</v>
      </c>
      <c r="K208" s="7" t="str">
        <f t="shared" si="7"/>
        <v>E6</v>
      </c>
    </row>
    <row r="209" spans="1:11" s="6" customFormat="1" ht="28" customHeight="1">
      <c r="A209" s="4">
        <v>208</v>
      </c>
      <c r="B209" s="5" t="s">
        <v>30</v>
      </c>
      <c r="C209" s="5" t="s">
        <v>904</v>
      </c>
      <c r="D209" s="5" t="s">
        <v>905</v>
      </c>
      <c r="E209" s="5" t="s">
        <v>906</v>
      </c>
      <c r="F209" s="11"/>
      <c r="G209" t="s">
        <v>974</v>
      </c>
      <c r="H209" s="12" t="str">
        <f t="shared" si="6"/>
        <v/>
      </c>
      <c r="I209" s="16" t="s">
        <v>975</v>
      </c>
      <c r="J209" t="s">
        <v>1003</v>
      </c>
      <c r="K209" s="7" t="str">
        <f t="shared" si="7"/>
        <v>O6</v>
      </c>
    </row>
    <row r="210" spans="1:11" s="6" customFormat="1" ht="28" customHeight="1">
      <c r="A210" s="4">
        <v>209</v>
      </c>
      <c r="B210" s="5" t="s">
        <v>30</v>
      </c>
      <c r="C210" s="5" t="s">
        <v>184</v>
      </c>
      <c r="D210" s="5" t="s">
        <v>185</v>
      </c>
      <c r="E210" s="5" t="s">
        <v>186</v>
      </c>
      <c r="F210" s="11"/>
      <c r="G210" t="s">
        <v>1110</v>
      </c>
      <c r="H210" s="12" t="str">
        <f t="shared" si="6"/>
        <v/>
      </c>
      <c r="I210" s="16" t="s">
        <v>977</v>
      </c>
      <c r="J210" t="s">
        <v>1003</v>
      </c>
      <c r="K210" s="7" t="str">
        <f t="shared" si="7"/>
        <v>A6</v>
      </c>
    </row>
    <row r="211" spans="1:11" s="6" customFormat="1" ht="28" customHeight="1">
      <c r="A211" s="4">
        <v>210</v>
      </c>
      <c r="B211" s="5" t="s">
        <v>30</v>
      </c>
      <c r="C211" s="5" t="s">
        <v>358</v>
      </c>
      <c r="D211" s="5" t="s">
        <v>359</v>
      </c>
      <c r="E211" s="5" t="s">
        <v>360</v>
      </c>
      <c r="F211" s="11"/>
      <c r="G211" t="s">
        <v>1111</v>
      </c>
      <c r="H211" s="12" t="str">
        <f t="shared" si="6"/>
        <v/>
      </c>
      <c r="I211" s="16" t="s">
        <v>979</v>
      </c>
      <c r="J211" t="s">
        <v>1003</v>
      </c>
      <c r="K211" s="7" t="str">
        <f t="shared" si="7"/>
        <v>C6</v>
      </c>
    </row>
    <row r="212" spans="1:11" s="6" customFormat="1" ht="28" customHeight="1">
      <c r="A212" s="4">
        <v>211</v>
      </c>
      <c r="B212" s="5" t="s">
        <v>30</v>
      </c>
      <c r="C212" s="5" t="s">
        <v>574</v>
      </c>
      <c r="D212" s="5" t="s">
        <v>575</v>
      </c>
      <c r="E212" s="5" t="s">
        <v>576</v>
      </c>
      <c r="F212" s="11"/>
      <c r="G212" t="s">
        <v>1112</v>
      </c>
      <c r="H212" s="12" t="str">
        <f t="shared" si="6"/>
        <v/>
      </c>
      <c r="I212" s="16" t="s">
        <v>920</v>
      </c>
      <c r="J212" t="s">
        <v>1003</v>
      </c>
      <c r="K212" s="7" t="str">
        <f t="shared" si="7"/>
        <v>N1</v>
      </c>
    </row>
    <row r="213" spans="1:11" s="6" customFormat="1" ht="28" customHeight="1">
      <c r="A213" s="4">
        <v>212</v>
      </c>
      <c r="B213" s="5" t="s">
        <v>30</v>
      </c>
      <c r="C213" s="5" t="s">
        <v>388</v>
      </c>
      <c r="D213" s="5" t="s">
        <v>389</v>
      </c>
      <c r="E213" s="5" t="s">
        <v>390</v>
      </c>
      <c r="F213" s="11"/>
      <c r="G213" t="s">
        <v>1113</v>
      </c>
      <c r="H213" s="12" t="str">
        <f t="shared" si="6"/>
        <v/>
      </c>
      <c r="I213" s="16" t="s">
        <v>923</v>
      </c>
      <c r="J213" t="s">
        <v>1003</v>
      </c>
      <c r="K213" s="7" t="str">
        <f t="shared" si="7"/>
        <v>E1</v>
      </c>
    </row>
    <row r="214" spans="1:11" s="6" customFormat="1" ht="28" customHeight="1">
      <c r="A214" s="4">
        <v>213</v>
      </c>
      <c r="B214" s="5" t="s">
        <v>30</v>
      </c>
      <c r="C214" s="5" t="s">
        <v>754</v>
      </c>
      <c r="D214" s="5" t="s">
        <v>755</v>
      </c>
      <c r="E214" s="5" t="s">
        <v>756</v>
      </c>
      <c r="F214" s="11"/>
      <c r="G214" t="s">
        <v>924</v>
      </c>
      <c r="H214" s="12" t="str">
        <f t="shared" si="6"/>
        <v/>
      </c>
      <c r="I214" s="16" t="s">
        <v>925</v>
      </c>
      <c r="J214" t="s">
        <v>1003</v>
      </c>
      <c r="K214" s="7" t="str">
        <f t="shared" si="7"/>
        <v>O1</v>
      </c>
    </row>
    <row r="215" spans="1:11" s="6" customFormat="1" ht="28" customHeight="1">
      <c r="A215" s="4">
        <v>214</v>
      </c>
      <c r="B215" s="5" t="s">
        <v>30</v>
      </c>
      <c r="C215" s="5" t="s">
        <v>34</v>
      </c>
      <c r="D215" s="5" t="s">
        <v>35</v>
      </c>
      <c r="E215" s="5" t="s">
        <v>36</v>
      </c>
      <c r="F215" s="11"/>
      <c r="G215" t="s">
        <v>1114</v>
      </c>
      <c r="H215" s="12" t="str">
        <f t="shared" si="6"/>
        <v/>
      </c>
      <c r="I215" s="16" t="s">
        <v>927</v>
      </c>
      <c r="J215" t="s">
        <v>1003</v>
      </c>
      <c r="K215" s="7" t="str">
        <f t="shared" si="7"/>
        <v>A1</v>
      </c>
    </row>
    <row r="216" spans="1:11" s="6" customFormat="1" ht="28" customHeight="1">
      <c r="A216" s="4">
        <v>215</v>
      </c>
      <c r="B216" s="5" t="s">
        <v>30</v>
      </c>
      <c r="C216" s="5" t="s">
        <v>214</v>
      </c>
      <c r="D216" s="5" t="s">
        <v>215</v>
      </c>
      <c r="E216" s="5" t="s">
        <v>216</v>
      </c>
      <c r="F216" s="11"/>
      <c r="G216" t="s">
        <v>1115</v>
      </c>
      <c r="H216" s="12" t="str">
        <f t="shared" si="6"/>
        <v/>
      </c>
      <c r="I216" s="16" t="s">
        <v>929</v>
      </c>
      <c r="J216" t="s">
        <v>1003</v>
      </c>
      <c r="K216" s="7" t="str">
        <f t="shared" si="7"/>
        <v>C1</v>
      </c>
    </row>
    <row r="217" spans="1:11" s="6" customFormat="1" ht="28" customHeight="1">
      <c r="A217" s="4">
        <v>216</v>
      </c>
      <c r="B217" s="5" t="s">
        <v>30</v>
      </c>
      <c r="C217" s="5" t="s">
        <v>598</v>
      </c>
      <c r="D217" s="5" t="s">
        <v>599</v>
      </c>
      <c r="E217" s="5" t="s">
        <v>600</v>
      </c>
      <c r="F217" s="11"/>
      <c r="G217" t="s">
        <v>930</v>
      </c>
      <c r="H217" s="12" t="str">
        <f t="shared" si="6"/>
        <v/>
      </c>
      <c r="I217" s="16" t="s">
        <v>931</v>
      </c>
      <c r="J217" t="s">
        <v>1003</v>
      </c>
      <c r="K217" s="7" t="str">
        <f t="shared" si="7"/>
        <v>N2</v>
      </c>
    </row>
    <row r="218" spans="1:11" s="6" customFormat="1" ht="28" customHeight="1">
      <c r="A218" s="4">
        <v>217</v>
      </c>
      <c r="B218" s="5" t="s">
        <v>30</v>
      </c>
      <c r="C218" s="5" t="s">
        <v>427</v>
      </c>
      <c r="D218" s="5" t="s">
        <v>428</v>
      </c>
      <c r="E218" s="5" t="s">
        <v>429</v>
      </c>
      <c r="F218" s="11"/>
      <c r="G218" t="s">
        <v>1000</v>
      </c>
      <c r="H218" s="12" t="str">
        <f t="shared" si="6"/>
        <v/>
      </c>
      <c r="I218" s="16" t="s">
        <v>933</v>
      </c>
      <c r="J218" t="s">
        <v>1003</v>
      </c>
      <c r="K218" s="7" t="str">
        <f t="shared" si="7"/>
        <v>E2</v>
      </c>
    </row>
    <row r="219" spans="1:11" s="6" customFormat="1" ht="28" customHeight="1">
      <c r="A219" s="4">
        <v>218</v>
      </c>
      <c r="B219" s="5" t="s">
        <v>30</v>
      </c>
      <c r="C219" s="5" t="s">
        <v>781</v>
      </c>
      <c r="D219" s="5" t="s">
        <v>782</v>
      </c>
      <c r="E219" s="5" t="s">
        <v>783</v>
      </c>
      <c r="F219" s="11"/>
      <c r="G219" t="s">
        <v>934</v>
      </c>
      <c r="H219" s="12" t="str">
        <f t="shared" si="6"/>
        <v/>
      </c>
      <c r="I219" s="16" t="s">
        <v>935</v>
      </c>
      <c r="J219" t="s">
        <v>1003</v>
      </c>
      <c r="K219" s="7" t="str">
        <f t="shared" si="7"/>
        <v>O2</v>
      </c>
    </row>
    <row r="220" spans="1:11" s="6" customFormat="1" ht="28" customHeight="1">
      <c r="A220" s="4">
        <v>219</v>
      </c>
      <c r="B220" s="5" t="s">
        <v>30</v>
      </c>
      <c r="C220" s="5" t="s">
        <v>70</v>
      </c>
      <c r="D220" s="5" t="s">
        <v>71</v>
      </c>
      <c r="E220" s="5" t="s">
        <v>72</v>
      </c>
      <c r="F220" s="11"/>
      <c r="G220" t="s">
        <v>1116</v>
      </c>
      <c r="H220" s="12" t="str">
        <f t="shared" si="6"/>
        <v/>
      </c>
      <c r="I220" s="16" t="s">
        <v>937</v>
      </c>
      <c r="J220" t="s">
        <v>1003</v>
      </c>
      <c r="K220" s="7" t="str">
        <f t="shared" si="7"/>
        <v>A2</v>
      </c>
    </row>
    <row r="221" spans="1:11" s="6" customFormat="1" ht="28" customHeight="1">
      <c r="A221" s="4">
        <v>220</v>
      </c>
      <c r="B221" s="5" t="s">
        <v>30</v>
      </c>
      <c r="C221" s="5" t="s">
        <v>244</v>
      </c>
      <c r="D221" s="5" t="s">
        <v>245</v>
      </c>
      <c r="E221" s="5" t="s">
        <v>246</v>
      </c>
      <c r="F221" s="11"/>
      <c r="G221" t="s">
        <v>1117</v>
      </c>
      <c r="H221" s="12" t="str">
        <f t="shared" si="6"/>
        <v/>
      </c>
      <c r="I221" s="16" t="s">
        <v>939</v>
      </c>
      <c r="J221" t="s">
        <v>1003</v>
      </c>
      <c r="K221" s="7" t="str">
        <f t="shared" si="7"/>
        <v>C2</v>
      </c>
    </row>
    <row r="222" spans="1:11" s="6" customFormat="1" ht="28" customHeight="1">
      <c r="A222" s="4">
        <v>221</v>
      </c>
      <c r="B222" s="5" t="s">
        <v>30</v>
      </c>
      <c r="C222" s="5" t="s">
        <v>637</v>
      </c>
      <c r="D222" s="5" t="s">
        <v>638</v>
      </c>
      <c r="E222" s="5" t="s">
        <v>639</v>
      </c>
      <c r="F222" s="11"/>
      <c r="G222" t="s">
        <v>940</v>
      </c>
      <c r="H222" s="12" t="str">
        <f t="shared" si="6"/>
        <v/>
      </c>
      <c r="I222" s="16" t="s">
        <v>941</v>
      </c>
      <c r="J222" t="s">
        <v>1003</v>
      </c>
      <c r="K222" s="7" t="str">
        <f t="shared" si="7"/>
        <v>N3</v>
      </c>
    </row>
    <row r="223" spans="1:11" s="6" customFormat="1" ht="28" customHeight="1">
      <c r="A223" s="4">
        <v>222</v>
      </c>
      <c r="B223" s="5" t="s">
        <v>30</v>
      </c>
      <c r="C223" s="5" t="s">
        <v>454</v>
      </c>
      <c r="D223" s="5" t="s">
        <v>455</v>
      </c>
      <c r="E223" s="5" t="s">
        <v>456</v>
      </c>
      <c r="F223" s="11"/>
      <c r="G223" t="s">
        <v>1118</v>
      </c>
      <c r="H223" s="12" t="str">
        <f t="shared" si="6"/>
        <v/>
      </c>
      <c r="I223" s="16" t="s">
        <v>943</v>
      </c>
      <c r="J223" t="s">
        <v>1003</v>
      </c>
      <c r="K223" s="7" t="str">
        <f t="shared" si="7"/>
        <v>E3</v>
      </c>
    </row>
    <row r="224" spans="1:11" s="6" customFormat="1" ht="28" customHeight="1">
      <c r="A224" s="4">
        <v>223</v>
      </c>
      <c r="B224" s="5" t="s">
        <v>30</v>
      </c>
      <c r="C224" s="5" t="s">
        <v>808</v>
      </c>
      <c r="D224" s="5" t="s">
        <v>809</v>
      </c>
      <c r="E224" s="5" t="s">
        <v>810</v>
      </c>
      <c r="F224" s="11"/>
      <c r="G224" t="s">
        <v>944</v>
      </c>
      <c r="H224" s="12" t="str">
        <f t="shared" si="6"/>
        <v/>
      </c>
      <c r="I224" s="16" t="s">
        <v>945</v>
      </c>
      <c r="J224" t="s">
        <v>1003</v>
      </c>
      <c r="K224" s="7" t="str">
        <f t="shared" si="7"/>
        <v>O3</v>
      </c>
    </row>
    <row r="225" spans="1:11" s="6" customFormat="1" ht="28" customHeight="1">
      <c r="A225" s="4">
        <v>224</v>
      </c>
      <c r="B225" s="5" t="s">
        <v>30</v>
      </c>
      <c r="C225" s="5" t="s">
        <v>97</v>
      </c>
      <c r="D225" s="5" t="s">
        <v>98</v>
      </c>
      <c r="E225" s="5" t="s">
        <v>99</v>
      </c>
      <c r="F225" s="11"/>
      <c r="G225" t="s">
        <v>946</v>
      </c>
      <c r="H225" s="12" t="str">
        <f t="shared" si="6"/>
        <v/>
      </c>
      <c r="I225" s="16" t="s">
        <v>947</v>
      </c>
      <c r="J225" t="s">
        <v>1003</v>
      </c>
      <c r="K225" s="7" t="str">
        <f t="shared" si="7"/>
        <v>A3</v>
      </c>
    </row>
    <row r="226" spans="1:11" s="6" customFormat="1" ht="28" customHeight="1">
      <c r="A226" s="4">
        <v>225</v>
      </c>
      <c r="B226" s="5" t="s">
        <v>30</v>
      </c>
      <c r="C226" s="5" t="s">
        <v>274</v>
      </c>
      <c r="D226" s="5" t="s">
        <v>275</v>
      </c>
      <c r="E226" s="5" t="s">
        <v>276</v>
      </c>
      <c r="F226" s="11"/>
      <c r="G226" t="s">
        <v>1119</v>
      </c>
      <c r="H226" s="12" t="str">
        <f t="shared" si="6"/>
        <v/>
      </c>
      <c r="I226" s="16" t="s">
        <v>949</v>
      </c>
      <c r="J226" t="s">
        <v>1003</v>
      </c>
      <c r="K226" s="7" t="str">
        <f t="shared" si="7"/>
        <v>C3</v>
      </c>
    </row>
    <row r="227" spans="1:11" s="6" customFormat="1" ht="28" customHeight="1">
      <c r="A227" s="4">
        <v>226</v>
      </c>
      <c r="B227" s="5" t="s">
        <v>30</v>
      </c>
      <c r="C227" s="5" t="s">
        <v>667</v>
      </c>
      <c r="D227" s="5" t="s">
        <v>668</v>
      </c>
      <c r="E227" s="5" t="s">
        <v>669</v>
      </c>
      <c r="F227" s="11"/>
      <c r="G227" t="s">
        <v>1120</v>
      </c>
      <c r="H227" s="12" t="str">
        <f t="shared" si="6"/>
        <v/>
      </c>
      <c r="I227" s="16" t="s">
        <v>951</v>
      </c>
      <c r="J227" t="s">
        <v>1003</v>
      </c>
      <c r="K227" s="7" t="str">
        <f t="shared" si="7"/>
        <v>N4</v>
      </c>
    </row>
    <row r="228" spans="1:11" s="6" customFormat="1" ht="28" customHeight="1">
      <c r="A228" s="4">
        <v>227</v>
      </c>
      <c r="B228" s="5" t="s">
        <v>30</v>
      </c>
      <c r="C228" s="5" t="s">
        <v>484</v>
      </c>
      <c r="D228" s="5" t="s">
        <v>485</v>
      </c>
      <c r="E228" s="5" t="s">
        <v>486</v>
      </c>
      <c r="F228" s="11"/>
      <c r="G228" t="s">
        <v>1121</v>
      </c>
      <c r="H228" s="12" t="str">
        <f t="shared" si="6"/>
        <v/>
      </c>
      <c r="I228" s="16" t="s">
        <v>953</v>
      </c>
      <c r="J228" t="s">
        <v>1003</v>
      </c>
      <c r="K228" s="7" t="str">
        <f t="shared" si="7"/>
        <v>E4</v>
      </c>
    </row>
    <row r="229" spans="1:11" s="6" customFormat="1" ht="28" customHeight="1">
      <c r="A229" s="4">
        <v>228</v>
      </c>
      <c r="B229" s="5" t="s">
        <v>30</v>
      </c>
      <c r="C229" s="5" t="s">
        <v>847</v>
      </c>
      <c r="D229" s="5" t="s">
        <v>848</v>
      </c>
      <c r="E229" s="5" t="s">
        <v>849</v>
      </c>
      <c r="F229" s="11"/>
      <c r="G229" t="s">
        <v>1122</v>
      </c>
      <c r="H229" s="12" t="str">
        <f t="shared" si="6"/>
        <v/>
      </c>
      <c r="I229" s="16" t="s">
        <v>955</v>
      </c>
      <c r="J229" t="s">
        <v>1003</v>
      </c>
      <c r="K229" s="7" t="str">
        <f t="shared" si="7"/>
        <v>O4</v>
      </c>
    </row>
    <row r="230" spans="1:11" s="6" customFormat="1" ht="28" customHeight="1">
      <c r="A230" s="4">
        <v>229</v>
      </c>
      <c r="B230" s="5" t="s">
        <v>30</v>
      </c>
      <c r="C230" s="5" t="s">
        <v>118</v>
      </c>
      <c r="D230" s="5" t="s">
        <v>119</v>
      </c>
      <c r="E230" s="5" t="s">
        <v>120</v>
      </c>
      <c r="F230" s="11"/>
      <c r="G230" t="s">
        <v>1123</v>
      </c>
      <c r="H230" s="12" t="str">
        <f t="shared" si="6"/>
        <v/>
      </c>
      <c r="I230" s="16" t="s">
        <v>957</v>
      </c>
      <c r="J230" t="s">
        <v>1003</v>
      </c>
      <c r="K230" s="7" t="str">
        <f t="shared" si="7"/>
        <v>A4</v>
      </c>
    </row>
    <row r="231" spans="1:11" s="6" customFormat="1" ht="28" customHeight="1">
      <c r="A231" s="4">
        <v>230</v>
      </c>
      <c r="B231" s="5" t="s">
        <v>30</v>
      </c>
      <c r="C231" s="5" t="s">
        <v>310</v>
      </c>
      <c r="D231" s="5" t="s">
        <v>311</v>
      </c>
      <c r="E231" s="5" t="s">
        <v>312</v>
      </c>
      <c r="F231" s="11"/>
      <c r="G231" t="s">
        <v>1124</v>
      </c>
      <c r="H231" s="12" t="str">
        <f t="shared" si="6"/>
        <v/>
      </c>
      <c r="I231" s="16" t="s">
        <v>959</v>
      </c>
      <c r="J231" t="s">
        <v>1003</v>
      </c>
      <c r="K231" s="7" t="str">
        <f t="shared" si="7"/>
        <v>C4</v>
      </c>
    </row>
    <row r="232" spans="1:11" s="6" customFormat="1" ht="28" customHeight="1">
      <c r="A232" s="4">
        <v>231</v>
      </c>
      <c r="B232" s="5" t="s">
        <v>30</v>
      </c>
      <c r="C232" s="5" t="s">
        <v>694</v>
      </c>
      <c r="D232" s="5" t="s">
        <v>695</v>
      </c>
      <c r="E232" s="5" t="s">
        <v>696</v>
      </c>
      <c r="F232" s="11"/>
      <c r="G232" t="s">
        <v>1125</v>
      </c>
      <c r="H232" s="12" t="str">
        <f t="shared" si="6"/>
        <v/>
      </c>
      <c r="I232" s="16" t="s">
        <v>961</v>
      </c>
      <c r="J232" t="s">
        <v>1003</v>
      </c>
      <c r="K232" s="7" t="str">
        <f t="shared" si="7"/>
        <v>N5</v>
      </c>
    </row>
    <row r="233" spans="1:11" s="6" customFormat="1" ht="28" customHeight="1">
      <c r="A233" s="4">
        <v>232</v>
      </c>
      <c r="B233" s="5" t="s">
        <v>11</v>
      </c>
      <c r="C233" s="5" t="s">
        <v>514</v>
      </c>
      <c r="D233" s="5" t="s">
        <v>515</v>
      </c>
      <c r="E233" s="5" t="s">
        <v>516</v>
      </c>
      <c r="F233" s="11"/>
      <c r="G233" t="s">
        <v>962</v>
      </c>
      <c r="H233" s="12" t="str">
        <f t="shared" si="6"/>
        <v/>
      </c>
      <c r="I233" s="16" t="s">
        <v>963</v>
      </c>
      <c r="J233" t="s">
        <v>921</v>
      </c>
      <c r="K233" s="7" t="str">
        <f t="shared" si="7"/>
        <v>E5</v>
      </c>
    </row>
    <row r="234" spans="1:11" s="6" customFormat="1" ht="28" customHeight="1">
      <c r="A234" s="4">
        <v>233</v>
      </c>
      <c r="B234" s="5" t="s">
        <v>30</v>
      </c>
      <c r="C234" s="5" t="s">
        <v>871</v>
      </c>
      <c r="D234" s="5" t="s">
        <v>872</v>
      </c>
      <c r="E234" s="5" t="s">
        <v>873</v>
      </c>
      <c r="F234" s="11"/>
      <c r="G234" t="s">
        <v>964</v>
      </c>
      <c r="H234" s="12" t="str">
        <f t="shared" si="6"/>
        <v/>
      </c>
      <c r="I234" s="16" t="s">
        <v>965</v>
      </c>
      <c r="J234" t="s">
        <v>1003</v>
      </c>
      <c r="K234" s="7" t="str">
        <f t="shared" si="7"/>
        <v>O5</v>
      </c>
    </row>
    <row r="235" spans="1:11" s="6" customFormat="1" ht="28" customHeight="1">
      <c r="A235" s="4">
        <v>234</v>
      </c>
      <c r="B235" s="5" t="s">
        <v>30</v>
      </c>
      <c r="C235" s="5" t="s">
        <v>157</v>
      </c>
      <c r="D235" s="5" t="s">
        <v>158</v>
      </c>
      <c r="E235" s="5" t="s">
        <v>159</v>
      </c>
      <c r="F235" s="11"/>
      <c r="G235" t="s">
        <v>1126</v>
      </c>
      <c r="H235" s="12" t="str">
        <f t="shared" si="6"/>
        <v/>
      </c>
      <c r="I235" s="16" t="s">
        <v>967</v>
      </c>
      <c r="J235" t="s">
        <v>1003</v>
      </c>
      <c r="K235" s="7" t="str">
        <f t="shared" si="7"/>
        <v>A5</v>
      </c>
    </row>
    <row r="236" spans="1:11" s="6" customFormat="1" ht="28" customHeight="1">
      <c r="A236" s="4">
        <v>235</v>
      </c>
      <c r="B236" s="5" t="s">
        <v>30</v>
      </c>
      <c r="C236" s="5" t="s">
        <v>337</v>
      </c>
      <c r="D236" s="5" t="s">
        <v>338</v>
      </c>
      <c r="E236" s="5" t="s">
        <v>339</v>
      </c>
      <c r="F236" s="11"/>
      <c r="G236" t="s">
        <v>1127</v>
      </c>
      <c r="H236" s="12" t="str">
        <f t="shared" si="6"/>
        <v/>
      </c>
      <c r="I236" s="16" t="s">
        <v>969</v>
      </c>
      <c r="J236" t="s">
        <v>1003</v>
      </c>
      <c r="K236" s="7" t="str">
        <f t="shared" si="7"/>
        <v>C5</v>
      </c>
    </row>
    <row r="237" spans="1:11" s="6" customFormat="1" ht="28" customHeight="1">
      <c r="A237" s="4">
        <v>236</v>
      </c>
      <c r="B237" s="5" t="s">
        <v>30</v>
      </c>
      <c r="C237" s="5" t="s">
        <v>724</v>
      </c>
      <c r="D237" s="5" t="s">
        <v>725</v>
      </c>
      <c r="E237" s="5" t="s">
        <v>726</v>
      </c>
      <c r="F237" s="11"/>
      <c r="G237" t="s">
        <v>970</v>
      </c>
      <c r="H237" s="12" t="str">
        <f t="shared" si="6"/>
        <v/>
      </c>
      <c r="I237" s="16" t="s">
        <v>971</v>
      </c>
      <c r="J237" t="s">
        <v>1003</v>
      </c>
      <c r="K237" s="7" t="str">
        <f t="shared" si="7"/>
        <v>N6</v>
      </c>
    </row>
    <row r="238" spans="1:11" s="6" customFormat="1" ht="28" customHeight="1">
      <c r="A238" s="4">
        <v>237</v>
      </c>
      <c r="B238" s="5" t="s">
        <v>11</v>
      </c>
      <c r="C238" s="5" t="s">
        <v>544</v>
      </c>
      <c r="D238" s="5" t="s">
        <v>545</v>
      </c>
      <c r="E238" s="5" t="s">
        <v>546</v>
      </c>
      <c r="F238" s="11"/>
      <c r="G238" t="s">
        <v>1128</v>
      </c>
      <c r="H238" s="12" t="str">
        <f t="shared" si="6"/>
        <v/>
      </c>
      <c r="I238" s="16" t="s">
        <v>973</v>
      </c>
      <c r="J238" t="s">
        <v>921</v>
      </c>
      <c r="K238" s="7" t="str">
        <f t="shared" si="7"/>
        <v>E6</v>
      </c>
    </row>
    <row r="239" spans="1:11" s="6" customFormat="1" ht="28" customHeight="1">
      <c r="A239" s="4">
        <v>238</v>
      </c>
      <c r="B239" s="5" t="s">
        <v>30</v>
      </c>
      <c r="C239" s="5" t="s">
        <v>907</v>
      </c>
      <c r="D239" s="5" t="s">
        <v>908</v>
      </c>
      <c r="E239" s="5" t="s">
        <v>909</v>
      </c>
      <c r="F239" s="11"/>
      <c r="G239" t="s">
        <v>1129</v>
      </c>
      <c r="H239" s="12" t="str">
        <f t="shared" si="6"/>
        <v/>
      </c>
      <c r="I239" s="16" t="s">
        <v>975</v>
      </c>
      <c r="J239" t="s">
        <v>1003</v>
      </c>
      <c r="K239" s="7" t="str">
        <f t="shared" si="7"/>
        <v>O6</v>
      </c>
    </row>
    <row r="240" spans="1:11" s="6" customFormat="1" ht="28" customHeight="1">
      <c r="A240" s="4">
        <v>239</v>
      </c>
      <c r="B240" s="5" t="s">
        <v>30</v>
      </c>
      <c r="C240" s="5" t="s">
        <v>178</v>
      </c>
      <c r="D240" s="5" t="s">
        <v>179</v>
      </c>
      <c r="E240" s="5" t="s">
        <v>180</v>
      </c>
      <c r="F240" s="11"/>
      <c r="G240" t="s">
        <v>1130</v>
      </c>
      <c r="H240" s="12" t="str">
        <f t="shared" si="6"/>
        <v/>
      </c>
      <c r="I240" s="16" t="s">
        <v>977</v>
      </c>
      <c r="J240" t="s">
        <v>1003</v>
      </c>
      <c r="K240" s="7" t="str">
        <f t="shared" si="7"/>
        <v>A6</v>
      </c>
    </row>
    <row r="241" spans="1:11" s="6" customFormat="1" ht="28" customHeight="1">
      <c r="A241" s="4">
        <v>240</v>
      </c>
      <c r="B241" s="5" t="s">
        <v>30</v>
      </c>
      <c r="C241" s="5" t="s">
        <v>367</v>
      </c>
      <c r="D241" s="5" t="s">
        <v>368</v>
      </c>
      <c r="E241" s="5" t="s">
        <v>369</v>
      </c>
      <c r="F241" s="11"/>
      <c r="G241" t="s">
        <v>1131</v>
      </c>
      <c r="H241" s="12" t="str">
        <f t="shared" si="6"/>
        <v/>
      </c>
      <c r="I241" s="16" t="s">
        <v>979</v>
      </c>
      <c r="J241" t="s">
        <v>1003</v>
      </c>
      <c r="K241" s="7" t="str">
        <f t="shared" si="7"/>
        <v>C6</v>
      </c>
    </row>
    <row r="242" spans="1:11" s="6" customFormat="1" ht="28" customHeight="1">
      <c r="A242" s="4">
        <v>241</v>
      </c>
      <c r="B242" s="5" t="s">
        <v>30</v>
      </c>
      <c r="C242" s="5" t="s">
        <v>577</v>
      </c>
      <c r="D242" s="5" t="s">
        <v>578</v>
      </c>
      <c r="E242" s="5" t="s">
        <v>579</v>
      </c>
      <c r="F242" s="11"/>
      <c r="G242" t="s">
        <v>919</v>
      </c>
      <c r="H242" s="12" t="str">
        <f t="shared" si="6"/>
        <v/>
      </c>
      <c r="I242" s="16" t="s">
        <v>920</v>
      </c>
      <c r="J242" t="s">
        <v>1003</v>
      </c>
      <c r="K242" s="7" t="str">
        <f t="shared" si="7"/>
        <v>N1</v>
      </c>
    </row>
    <row r="243" spans="1:11" s="6" customFormat="1" ht="28" customHeight="1">
      <c r="A243" s="4">
        <v>242</v>
      </c>
      <c r="B243" s="5" t="s">
        <v>30</v>
      </c>
      <c r="C243" s="5" t="s">
        <v>400</v>
      </c>
      <c r="D243" s="5" t="s">
        <v>401</v>
      </c>
      <c r="E243" s="5" t="s">
        <v>402</v>
      </c>
      <c r="F243" s="11"/>
      <c r="G243" t="s">
        <v>1132</v>
      </c>
      <c r="H243" s="12" t="str">
        <f t="shared" si="6"/>
        <v/>
      </c>
      <c r="I243" s="16" t="s">
        <v>923</v>
      </c>
      <c r="J243" t="s">
        <v>1003</v>
      </c>
      <c r="K243" s="7" t="str">
        <f t="shared" si="7"/>
        <v>E1</v>
      </c>
    </row>
    <row r="244" spans="1:11" s="6" customFormat="1" ht="28" customHeight="1">
      <c r="A244" s="4">
        <v>243</v>
      </c>
      <c r="B244" s="5" t="s">
        <v>30</v>
      </c>
      <c r="C244" s="5" t="s">
        <v>757</v>
      </c>
      <c r="D244" s="5" t="s">
        <v>758</v>
      </c>
      <c r="E244" s="5" t="s">
        <v>759</v>
      </c>
      <c r="F244" s="11"/>
      <c r="G244" t="s">
        <v>1133</v>
      </c>
      <c r="H244" s="12" t="str">
        <f t="shared" si="6"/>
        <v/>
      </c>
      <c r="I244" s="16" t="s">
        <v>925</v>
      </c>
      <c r="J244" t="s">
        <v>1003</v>
      </c>
      <c r="K244" s="7" t="str">
        <f t="shared" si="7"/>
        <v>O1</v>
      </c>
    </row>
    <row r="245" spans="1:11" s="6" customFormat="1" ht="28" customHeight="1">
      <c r="A245" s="4">
        <v>244</v>
      </c>
      <c r="B245" s="5" t="s">
        <v>30</v>
      </c>
      <c r="C245" s="5" t="s">
        <v>37</v>
      </c>
      <c r="D245" s="5" t="s">
        <v>38</v>
      </c>
      <c r="E245" s="5" t="s">
        <v>39</v>
      </c>
      <c r="F245" s="11"/>
      <c r="G245" t="s">
        <v>1134</v>
      </c>
      <c r="H245" s="12" t="str">
        <f t="shared" si="6"/>
        <v/>
      </c>
      <c r="I245" s="16" t="s">
        <v>927</v>
      </c>
      <c r="J245" t="s">
        <v>1003</v>
      </c>
      <c r="K245" s="7" t="str">
        <f t="shared" si="7"/>
        <v>A1</v>
      </c>
    </row>
    <row r="246" spans="1:11" s="6" customFormat="1" ht="28" customHeight="1">
      <c r="A246" s="4">
        <v>245</v>
      </c>
      <c r="B246" s="5" t="s">
        <v>30</v>
      </c>
      <c r="C246" s="5" t="s">
        <v>217</v>
      </c>
      <c r="D246" s="5" t="s">
        <v>218</v>
      </c>
      <c r="E246" s="5" t="s">
        <v>219</v>
      </c>
      <c r="F246" s="11"/>
      <c r="G246" t="s">
        <v>1135</v>
      </c>
      <c r="H246" s="12" t="str">
        <f t="shared" si="6"/>
        <v/>
      </c>
      <c r="I246" s="16" t="s">
        <v>929</v>
      </c>
      <c r="J246" t="s">
        <v>1003</v>
      </c>
      <c r="K246" s="7" t="str">
        <f t="shared" si="7"/>
        <v>C1</v>
      </c>
    </row>
    <row r="247" spans="1:11" s="6" customFormat="1" ht="28" customHeight="1">
      <c r="A247" s="4">
        <v>246</v>
      </c>
      <c r="B247" s="5" t="s">
        <v>30</v>
      </c>
      <c r="C247" s="5" t="s">
        <v>607</v>
      </c>
      <c r="D247" s="5" t="s">
        <v>608</v>
      </c>
      <c r="E247" s="5" t="s">
        <v>609</v>
      </c>
      <c r="F247" s="11"/>
      <c r="G247" t="s">
        <v>1136</v>
      </c>
      <c r="H247" s="12" t="str">
        <f t="shared" si="6"/>
        <v/>
      </c>
      <c r="I247" s="16" t="s">
        <v>931</v>
      </c>
      <c r="J247" t="s">
        <v>1003</v>
      </c>
      <c r="K247" s="7" t="str">
        <f t="shared" si="7"/>
        <v>N2</v>
      </c>
    </row>
    <row r="248" spans="1:11" s="6" customFormat="1" ht="28" customHeight="1">
      <c r="A248" s="4">
        <v>247</v>
      </c>
      <c r="B248" s="5" t="s">
        <v>30</v>
      </c>
      <c r="C248" s="5" t="s">
        <v>421</v>
      </c>
      <c r="D248" s="5" t="s">
        <v>422</v>
      </c>
      <c r="E248" s="5" t="s">
        <v>423</v>
      </c>
      <c r="F248" s="11"/>
      <c r="G248" t="s">
        <v>1000</v>
      </c>
      <c r="H248" s="12" t="str">
        <f t="shared" si="6"/>
        <v/>
      </c>
      <c r="I248" s="16" t="s">
        <v>933</v>
      </c>
      <c r="J248" t="s">
        <v>1003</v>
      </c>
      <c r="K248" s="7" t="str">
        <f t="shared" si="7"/>
        <v>E2</v>
      </c>
    </row>
    <row r="249" spans="1:11" s="6" customFormat="1" ht="28" customHeight="1">
      <c r="A249" s="4">
        <v>248</v>
      </c>
      <c r="B249" s="5" t="s">
        <v>30</v>
      </c>
      <c r="C249" s="5" t="s">
        <v>787</v>
      </c>
      <c r="D249" s="5" t="s">
        <v>788</v>
      </c>
      <c r="E249" s="5" t="s">
        <v>789</v>
      </c>
      <c r="F249" s="11"/>
      <c r="G249" t="s">
        <v>1137</v>
      </c>
      <c r="H249" s="12" t="str">
        <f t="shared" si="6"/>
        <v/>
      </c>
      <c r="I249" s="16" t="s">
        <v>935</v>
      </c>
      <c r="J249" t="s">
        <v>1003</v>
      </c>
      <c r="K249" s="7" t="str">
        <f t="shared" si="7"/>
        <v>O2</v>
      </c>
    </row>
    <row r="250" spans="1:11" s="6" customFormat="1" ht="28" customHeight="1">
      <c r="A250" s="4">
        <v>249</v>
      </c>
      <c r="B250" s="5" t="s">
        <v>30</v>
      </c>
      <c r="C250" s="5" t="s">
        <v>55</v>
      </c>
      <c r="D250" s="5" t="s">
        <v>56</v>
      </c>
      <c r="E250" s="5" t="s">
        <v>57</v>
      </c>
      <c r="F250" s="11"/>
      <c r="G250" t="s">
        <v>936</v>
      </c>
      <c r="H250" s="12" t="str">
        <f t="shared" si="6"/>
        <v/>
      </c>
      <c r="I250" s="16" t="s">
        <v>937</v>
      </c>
      <c r="J250" t="s">
        <v>1003</v>
      </c>
      <c r="K250" s="7" t="str">
        <f t="shared" si="7"/>
        <v>A2</v>
      </c>
    </row>
    <row r="251" spans="1:11" s="6" customFormat="1" ht="28" customHeight="1">
      <c r="A251" s="4">
        <v>250</v>
      </c>
      <c r="B251" s="5" t="s">
        <v>30</v>
      </c>
      <c r="C251" s="5" t="s">
        <v>247</v>
      </c>
      <c r="D251" s="5" t="s">
        <v>248</v>
      </c>
      <c r="E251" s="5" t="s">
        <v>249</v>
      </c>
      <c r="F251" s="11"/>
      <c r="G251" t="s">
        <v>938</v>
      </c>
      <c r="H251" s="12" t="str">
        <f t="shared" si="6"/>
        <v/>
      </c>
      <c r="I251" s="16" t="s">
        <v>939</v>
      </c>
      <c r="J251" t="s">
        <v>1003</v>
      </c>
      <c r="K251" s="7" t="str">
        <f t="shared" si="7"/>
        <v>C2</v>
      </c>
    </row>
    <row r="252" spans="1:11" s="6" customFormat="1" ht="28" customHeight="1">
      <c r="A252" s="4">
        <v>251</v>
      </c>
      <c r="B252" s="5" t="s">
        <v>30</v>
      </c>
      <c r="C252" s="5" t="s">
        <v>634</v>
      </c>
      <c r="D252" s="5" t="s">
        <v>635</v>
      </c>
      <c r="E252" s="5" t="s">
        <v>636</v>
      </c>
      <c r="F252" s="11"/>
      <c r="G252" t="s">
        <v>1138</v>
      </c>
      <c r="H252" s="12" t="str">
        <f t="shared" si="6"/>
        <v/>
      </c>
      <c r="I252" s="16" t="s">
        <v>941</v>
      </c>
      <c r="J252" t="s">
        <v>1003</v>
      </c>
      <c r="K252" s="7" t="str">
        <f t="shared" si="7"/>
        <v>N3</v>
      </c>
    </row>
    <row r="253" spans="1:11" s="6" customFormat="1" ht="28" customHeight="1">
      <c r="A253" s="4">
        <v>252</v>
      </c>
      <c r="B253" s="5" t="s">
        <v>30</v>
      </c>
      <c r="C253" s="5" t="s">
        <v>457</v>
      </c>
      <c r="D253" s="5" t="s">
        <v>458</v>
      </c>
      <c r="E253" s="5" t="s">
        <v>459</v>
      </c>
      <c r="F253" s="11"/>
      <c r="G253" t="s">
        <v>1139</v>
      </c>
      <c r="H253" s="12" t="str">
        <f t="shared" si="6"/>
        <v/>
      </c>
      <c r="I253" s="16" t="s">
        <v>943</v>
      </c>
      <c r="J253" t="s">
        <v>1003</v>
      </c>
      <c r="K253" s="7" t="str">
        <f t="shared" si="7"/>
        <v>E3</v>
      </c>
    </row>
    <row r="254" spans="1:11" s="6" customFormat="1" ht="28" customHeight="1">
      <c r="A254" s="4">
        <v>253</v>
      </c>
      <c r="B254" s="5" t="s">
        <v>30</v>
      </c>
      <c r="C254" s="5" t="s">
        <v>820</v>
      </c>
      <c r="D254" s="5" t="s">
        <v>821</v>
      </c>
      <c r="E254" s="5" t="s">
        <v>822</v>
      </c>
      <c r="F254" s="11"/>
      <c r="G254" t="s">
        <v>944</v>
      </c>
      <c r="H254" s="12" t="str">
        <f t="shared" si="6"/>
        <v/>
      </c>
      <c r="I254" s="16" t="s">
        <v>945</v>
      </c>
      <c r="J254" t="s">
        <v>1003</v>
      </c>
      <c r="K254" s="7" t="str">
        <f t="shared" si="7"/>
        <v>O3</v>
      </c>
    </row>
    <row r="255" spans="1:11" s="6" customFormat="1" ht="28" customHeight="1">
      <c r="A255" s="4">
        <v>254</v>
      </c>
      <c r="B255" s="5" t="s">
        <v>30</v>
      </c>
      <c r="C255" s="5" t="s">
        <v>100</v>
      </c>
      <c r="D255" s="5" t="s">
        <v>101</v>
      </c>
      <c r="E255" s="5" t="s">
        <v>102</v>
      </c>
      <c r="F255" s="11"/>
      <c r="G255" t="s">
        <v>1140</v>
      </c>
      <c r="H255" s="12" t="str">
        <f t="shared" si="6"/>
        <v/>
      </c>
      <c r="I255" s="16" t="s">
        <v>947</v>
      </c>
      <c r="J255" t="s">
        <v>1003</v>
      </c>
      <c r="K255" s="7" t="str">
        <f t="shared" si="7"/>
        <v>A3</v>
      </c>
    </row>
    <row r="256" spans="1:11" s="6" customFormat="1" ht="28" customHeight="1">
      <c r="A256" s="4">
        <v>255</v>
      </c>
      <c r="B256" s="5" t="s">
        <v>30</v>
      </c>
      <c r="C256" s="5" t="s">
        <v>277</v>
      </c>
      <c r="D256" s="5" t="s">
        <v>278</v>
      </c>
      <c r="E256" s="5" t="s">
        <v>279</v>
      </c>
      <c r="F256" s="11"/>
      <c r="G256" t="s">
        <v>1141</v>
      </c>
      <c r="H256" s="12" t="str">
        <f t="shared" si="6"/>
        <v/>
      </c>
      <c r="I256" s="16" t="s">
        <v>949</v>
      </c>
      <c r="J256" t="s">
        <v>1003</v>
      </c>
      <c r="K256" s="7" t="str">
        <f t="shared" si="7"/>
        <v>C3</v>
      </c>
    </row>
    <row r="257" spans="1:11" s="6" customFormat="1" ht="28" customHeight="1">
      <c r="A257" s="4">
        <v>256</v>
      </c>
      <c r="B257" s="5" t="s">
        <v>30</v>
      </c>
      <c r="C257" s="5" t="s">
        <v>661</v>
      </c>
      <c r="D257" s="5" t="s">
        <v>662</v>
      </c>
      <c r="E257" s="5" t="s">
        <v>663</v>
      </c>
      <c r="F257" s="11"/>
      <c r="G257" t="s">
        <v>1142</v>
      </c>
      <c r="H257" s="12" t="str">
        <f t="shared" si="6"/>
        <v/>
      </c>
      <c r="I257" s="16" t="s">
        <v>951</v>
      </c>
      <c r="J257" t="s">
        <v>1003</v>
      </c>
      <c r="K257" s="7" t="str">
        <f t="shared" si="7"/>
        <v>N4</v>
      </c>
    </row>
    <row r="258" spans="1:11" s="6" customFormat="1" ht="28" customHeight="1">
      <c r="A258" s="4">
        <v>257</v>
      </c>
      <c r="B258" s="5" t="s">
        <v>30</v>
      </c>
      <c r="C258" s="5" t="s">
        <v>487</v>
      </c>
      <c r="D258" s="5" t="s">
        <v>488</v>
      </c>
      <c r="E258" s="5" t="s">
        <v>489</v>
      </c>
      <c r="F258" s="11"/>
      <c r="G258" t="s">
        <v>1143</v>
      </c>
      <c r="H258" s="12" t="str">
        <f t="shared" ref="H258:H301" si="8">IF(ISBLANK(F258),"",IF($B258="+",F258,6-F258))</f>
        <v/>
      </c>
      <c r="I258" s="16" t="s">
        <v>953</v>
      </c>
      <c r="J258" t="s">
        <v>1003</v>
      </c>
      <c r="K258" s="7" t="str">
        <f t="shared" ref="K258:K301" si="9">LEFT($C258,FIND("_",$C258)-1)</f>
        <v>E4</v>
      </c>
    </row>
    <row r="259" spans="1:11" s="6" customFormat="1" ht="28" customHeight="1">
      <c r="A259" s="4">
        <v>258</v>
      </c>
      <c r="B259" s="5" t="s">
        <v>30</v>
      </c>
      <c r="C259" s="5" t="s">
        <v>850</v>
      </c>
      <c r="D259" s="5" t="s">
        <v>851</v>
      </c>
      <c r="E259" s="5" t="s">
        <v>852</v>
      </c>
      <c r="F259" s="11"/>
      <c r="G259" t="s">
        <v>954</v>
      </c>
      <c r="H259" s="12" t="str">
        <f t="shared" si="8"/>
        <v/>
      </c>
      <c r="I259" s="16" t="s">
        <v>955</v>
      </c>
      <c r="J259" t="s">
        <v>1003</v>
      </c>
      <c r="K259" s="7" t="str">
        <f t="shared" si="9"/>
        <v>O4</v>
      </c>
    </row>
    <row r="260" spans="1:11" s="6" customFormat="1" ht="28" customHeight="1">
      <c r="A260" s="4">
        <v>259</v>
      </c>
      <c r="B260" s="5" t="s">
        <v>30</v>
      </c>
      <c r="C260" s="5" t="s">
        <v>121</v>
      </c>
      <c r="D260" s="5" t="s">
        <v>122</v>
      </c>
      <c r="E260" s="5" t="s">
        <v>123</v>
      </c>
      <c r="F260" s="11"/>
      <c r="G260" t="s">
        <v>1144</v>
      </c>
      <c r="H260" s="12" t="str">
        <f t="shared" si="8"/>
        <v/>
      </c>
      <c r="I260" s="16" t="s">
        <v>957</v>
      </c>
      <c r="J260" t="s">
        <v>1003</v>
      </c>
      <c r="K260" s="7" t="str">
        <f t="shared" si="9"/>
        <v>A4</v>
      </c>
    </row>
    <row r="261" spans="1:11" s="6" customFormat="1" ht="28" customHeight="1">
      <c r="A261" s="4">
        <v>260</v>
      </c>
      <c r="B261" s="5" t="s">
        <v>30</v>
      </c>
      <c r="C261" s="5" t="s">
        <v>307</v>
      </c>
      <c r="D261" s="5" t="s">
        <v>308</v>
      </c>
      <c r="E261" s="5" t="s">
        <v>309</v>
      </c>
      <c r="F261" s="11"/>
      <c r="G261" t="s">
        <v>1145</v>
      </c>
      <c r="H261" s="12" t="str">
        <f t="shared" si="8"/>
        <v/>
      </c>
      <c r="I261" s="16" t="s">
        <v>959</v>
      </c>
      <c r="J261" t="s">
        <v>1003</v>
      </c>
      <c r="K261" s="7" t="str">
        <f t="shared" si="9"/>
        <v>C4</v>
      </c>
    </row>
    <row r="262" spans="1:11" s="6" customFormat="1" ht="28" customHeight="1">
      <c r="A262" s="4">
        <v>261</v>
      </c>
      <c r="B262" s="5" t="s">
        <v>30</v>
      </c>
      <c r="C262" s="5" t="s">
        <v>697</v>
      </c>
      <c r="D262" s="5" t="s">
        <v>698</v>
      </c>
      <c r="E262" s="5" t="s">
        <v>699</v>
      </c>
      <c r="F262" s="11"/>
      <c r="G262" t="s">
        <v>1146</v>
      </c>
      <c r="H262" s="12" t="str">
        <f t="shared" si="8"/>
        <v/>
      </c>
      <c r="I262" s="16" t="s">
        <v>961</v>
      </c>
      <c r="J262" t="s">
        <v>1003</v>
      </c>
      <c r="K262" s="7" t="str">
        <f t="shared" si="9"/>
        <v>N5</v>
      </c>
    </row>
    <row r="263" spans="1:11" s="6" customFormat="1" ht="28" customHeight="1">
      <c r="A263" s="4">
        <v>262</v>
      </c>
      <c r="B263" s="5" t="s">
        <v>30</v>
      </c>
      <c r="C263" s="5" t="s">
        <v>517</v>
      </c>
      <c r="D263" s="5" t="s">
        <v>518</v>
      </c>
      <c r="E263" s="5" t="s">
        <v>519</v>
      </c>
      <c r="F263" s="11"/>
      <c r="G263" t="s">
        <v>1147</v>
      </c>
      <c r="H263" s="12" t="str">
        <f t="shared" si="8"/>
        <v/>
      </c>
      <c r="I263" s="16" t="s">
        <v>963</v>
      </c>
      <c r="J263" t="s">
        <v>1003</v>
      </c>
      <c r="K263" s="7" t="str">
        <f t="shared" si="9"/>
        <v>E5</v>
      </c>
    </row>
    <row r="264" spans="1:11" s="6" customFormat="1" ht="28" customHeight="1">
      <c r="A264" s="4">
        <v>263</v>
      </c>
      <c r="B264" s="5" t="s">
        <v>30</v>
      </c>
      <c r="C264" s="5" t="s">
        <v>874</v>
      </c>
      <c r="D264" s="5" t="s">
        <v>875</v>
      </c>
      <c r="E264" s="5" t="s">
        <v>876</v>
      </c>
      <c r="F264" s="11"/>
      <c r="G264" t="s">
        <v>1148</v>
      </c>
      <c r="H264" s="12" t="str">
        <f t="shared" si="8"/>
        <v/>
      </c>
      <c r="I264" s="16" t="s">
        <v>965</v>
      </c>
      <c r="J264" t="s">
        <v>1003</v>
      </c>
      <c r="K264" s="7" t="str">
        <f t="shared" si="9"/>
        <v>O5</v>
      </c>
    </row>
    <row r="265" spans="1:11" s="6" customFormat="1" ht="28" customHeight="1">
      <c r="A265" s="4">
        <v>264</v>
      </c>
      <c r="B265" s="5" t="s">
        <v>30</v>
      </c>
      <c r="C265" s="5" t="s">
        <v>154</v>
      </c>
      <c r="D265" s="5" t="s">
        <v>155</v>
      </c>
      <c r="E265" s="5" t="s">
        <v>156</v>
      </c>
      <c r="F265" s="11"/>
      <c r="G265" t="s">
        <v>1070</v>
      </c>
      <c r="H265" s="12" t="str">
        <f t="shared" si="8"/>
        <v/>
      </c>
      <c r="I265" s="16" t="s">
        <v>967</v>
      </c>
      <c r="J265" t="s">
        <v>1003</v>
      </c>
      <c r="K265" s="7" t="str">
        <f t="shared" si="9"/>
        <v>A5</v>
      </c>
    </row>
    <row r="266" spans="1:11" s="6" customFormat="1" ht="28" customHeight="1">
      <c r="A266" s="4">
        <v>265</v>
      </c>
      <c r="B266" s="5" t="s">
        <v>30</v>
      </c>
      <c r="C266" s="5" t="s">
        <v>331</v>
      </c>
      <c r="D266" s="5" t="s">
        <v>332</v>
      </c>
      <c r="E266" s="5" t="s">
        <v>333</v>
      </c>
      <c r="F266" s="11"/>
      <c r="G266" t="s">
        <v>1149</v>
      </c>
      <c r="H266" s="12" t="str">
        <f t="shared" si="8"/>
        <v/>
      </c>
      <c r="I266" s="16" t="s">
        <v>969</v>
      </c>
      <c r="J266" t="s">
        <v>1003</v>
      </c>
      <c r="K266" s="7" t="str">
        <f t="shared" si="9"/>
        <v>C5</v>
      </c>
    </row>
    <row r="267" spans="1:11" s="6" customFormat="1" ht="28" customHeight="1">
      <c r="A267" s="4">
        <v>266</v>
      </c>
      <c r="B267" s="5" t="s">
        <v>30</v>
      </c>
      <c r="C267" s="5" t="s">
        <v>727</v>
      </c>
      <c r="D267" s="5" t="s">
        <v>728</v>
      </c>
      <c r="E267" s="5" t="s">
        <v>729</v>
      </c>
      <c r="F267" s="11"/>
      <c r="G267" t="s">
        <v>1150</v>
      </c>
      <c r="H267" s="12" t="str">
        <f t="shared" si="8"/>
        <v/>
      </c>
      <c r="I267" s="16" t="s">
        <v>971</v>
      </c>
      <c r="J267" t="s">
        <v>1003</v>
      </c>
      <c r="K267" s="7" t="str">
        <f t="shared" si="9"/>
        <v>N6</v>
      </c>
    </row>
    <row r="268" spans="1:11" s="6" customFormat="1" ht="28" customHeight="1">
      <c r="A268" s="4">
        <v>267</v>
      </c>
      <c r="B268" s="5" t="s">
        <v>30</v>
      </c>
      <c r="C268" s="5" t="s">
        <v>547</v>
      </c>
      <c r="D268" s="5" t="s">
        <v>548</v>
      </c>
      <c r="E268" s="5" t="s">
        <v>549</v>
      </c>
      <c r="F268" s="11"/>
      <c r="G268" t="s">
        <v>1151</v>
      </c>
      <c r="H268" s="12" t="str">
        <f t="shared" si="8"/>
        <v/>
      </c>
      <c r="I268" s="16" t="s">
        <v>973</v>
      </c>
      <c r="J268" t="s">
        <v>1003</v>
      </c>
      <c r="K268" s="7" t="str">
        <f t="shared" si="9"/>
        <v>E6</v>
      </c>
    </row>
    <row r="269" spans="1:11" s="6" customFormat="1" ht="28" customHeight="1">
      <c r="A269" s="4">
        <v>268</v>
      </c>
      <c r="B269" s="5" t="s">
        <v>30</v>
      </c>
      <c r="C269" s="5" t="s">
        <v>895</v>
      </c>
      <c r="D269" s="5" t="s">
        <v>896</v>
      </c>
      <c r="E269" s="5" t="s">
        <v>897</v>
      </c>
      <c r="F269" s="11"/>
      <c r="G269" t="s">
        <v>1152</v>
      </c>
      <c r="H269" s="12" t="str">
        <f t="shared" si="8"/>
        <v/>
      </c>
      <c r="I269" s="16" t="s">
        <v>975</v>
      </c>
      <c r="J269" t="s">
        <v>1003</v>
      </c>
      <c r="K269" s="7" t="str">
        <f t="shared" si="9"/>
        <v>O6</v>
      </c>
    </row>
    <row r="270" spans="1:11" s="6" customFormat="1" ht="28" customHeight="1">
      <c r="A270" s="4">
        <v>269</v>
      </c>
      <c r="B270" s="5" t="s">
        <v>30</v>
      </c>
      <c r="C270" s="5" t="s">
        <v>187</v>
      </c>
      <c r="D270" s="5" t="s">
        <v>188</v>
      </c>
      <c r="E270" s="5" t="s">
        <v>189</v>
      </c>
      <c r="F270" s="11"/>
      <c r="G270" t="s">
        <v>1153</v>
      </c>
      <c r="H270" s="12" t="str">
        <f t="shared" si="8"/>
        <v/>
      </c>
      <c r="I270" s="16" t="s">
        <v>977</v>
      </c>
      <c r="J270" t="s">
        <v>1003</v>
      </c>
      <c r="K270" s="7" t="str">
        <f t="shared" si="9"/>
        <v>A6</v>
      </c>
    </row>
    <row r="271" spans="1:11" s="6" customFormat="1" ht="28" customHeight="1">
      <c r="A271" s="4">
        <v>270</v>
      </c>
      <c r="B271" s="5" t="s">
        <v>30</v>
      </c>
      <c r="C271" s="5" t="s">
        <v>361</v>
      </c>
      <c r="D271" s="5" t="s">
        <v>362</v>
      </c>
      <c r="E271" s="5" t="s">
        <v>363</v>
      </c>
      <c r="F271" s="11"/>
      <c r="G271" t="s">
        <v>1048</v>
      </c>
      <c r="H271" s="12" t="str">
        <f t="shared" si="8"/>
        <v/>
      </c>
      <c r="I271" s="16" t="s">
        <v>979</v>
      </c>
      <c r="J271" t="s">
        <v>1003</v>
      </c>
      <c r="K271" s="7" t="str">
        <f t="shared" si="9"/>
        <v>C6</v>
      </c>
    </row>
    <row r="272" spans="1:11" s="6" customFormat="1" ht="28" customHeight="1">
      <c r="A272" s="4">
        <v>271</v>
      </c>
      <c r="B272" s="5" t="s">
        <v>30</v>
      </c>
      <c r="C272" s="5" t="s">
        <v>580</v>
      </c>
      <c r="D272" s="5" t="s">
        <v>581</v>
      </c>
      <c r="E272" s="5" t="s">
        <v>582</v>
      </c>
      <c r="F272" s="11"/>
      <c r="G272" t="s">
        <v>1154</v>
      </c>
      <c r="H272" s="12" t="str">
        <f t="shared" si="8"/>
        <v/>
      </c>
      <c r="I272" s="16" t="s">
        <v>920</v>
      </c>
      <c r="J272" t="s">
        <v>1003</v>
      </c>
      <c r="K272" s="7" t="str">
        <f t="shared" si="9"/>
        <v>N1</v>
      </c>
    </row>
    <row r="273" spans="1:11" s="6" customFormat="1" ht="28" customHeight="1">
      <c r="A273" s="4">
        <v>272</v>
      </c>
      <c r="B273" s="5" t="s">
        <v>30</v>
      </c>
      <c r="C273" s="5" t="s">
        <v>391</v>
      </c>
      <c r="D273" s="5" t="s">
        <v>392</v>
      </c>
      <c r="E273" s="5" t="s">
        <v>393</v>
      </c>
      <c r="F273" s="11"/>
      <c r="G273" t="s">
        <v>1155</v>
      </c>
      <c r="H273" s="12" t="str">
        <f t="shared" si="8"/>
        <v/>
      </c>
      <c r="I273" s="16" t="s">
        <v>923</v>
      </c>
      <c r="J273" t="s">
        <v>1003</v>
      </c>
      <c r="K273" s="7" t="str">
        <f t="shared" si="9"/>
        <v>E1</v>
      </c>
    </row>
    <row r="274" spans="1:11" s="6" customFormat="1" ht="28" customHeight="1">
      <c r="A274" s="4">
        <v>273</v>
      </c>
      <c r="B274" s="5" t="s">
        <v>30</v>
      </c>
      <c r="C274" s="5" t="s">
        <v>760</v>
      </c>
      <c r="D274" s="5" t="s">
        <v>761</v>
      </c>
      <c r="E274" s="5" t="s">
        <v>762</v>
      </c>
      <c r="F274" s="11"/>
      <c r="G274" t="s">
        <v>1156</v>
      </c>
      <c r="H274" s="12" t="str">
        <f t="shared" si="8"/>
        <v/>
      </c>
      <c r="I274" s="16" t="s">
        <v>925</v>
      </c>
      <c r="J274" t="s">
        <v>1003</v>
      </c>
      <c r="K274" s="7" t="str">
        <f t="shared" si="9"/>
        <v>O1</v>
      </c>
    </row>
    <row r="275" spans="1:11" s="6" customFormat="1" ht="28" customHeight="1">
      <c r="A275" s="4">
        <v>274</v>
      </c>
      <c r="B275" s="5" t="s">
        <v>30</v>
      </c>
      <c r="C275" s="5" t="s">
        <v>40</v>
      </c>
      <c r="D275" s="5" t="s">
        <v>41</v>
      </c>
      <c r="E275" s="5" t="s">
        <v>42</v>
      </c>
      <c r="F275" s="11"/>
      <c r="G275" t="s">
        <v>1157</v>
      </c>
      <c r="H275" s="12" t="str">
        <f t="shared" si="8"/>
        <v/>
      </c>
      <c r="I275" s="16" t="s">
        <v>927</v>
      </c>
      <c r="J275" t="s">
        <v>1003</v>
      </c>
      <c r="K275" s="7" t="str">
        <f t="shared" si="9"/>
        <v>A1</v>
      </c>
    </row>
    <row r="276" spans="1:11" s="6" customFormat="1" ht="28" customHeight="1">
      <c r="A276" s="4">
        <v>275</v>
      </c>
      <c r="B276" s="5" t="s">
        <v>30</v>
      </c>
      <c r="C276" s="5" t="s">
        <v>220</v>
      </c>
      <c r="D276" s="5" t="s">
        <v>221</v>
      </c>
      <c r="E276" s="5" t="s">
        <v>222</v>
      </c>
      <c r="F276" s="11"/>
      <c r="G276" t="s">
        <v>1158</v>
      </c>
      <c r="H276" s="12" t="str">
        <f t="shared" si="8"/>
        <v/>
      </c>
      <c r="I276" s="16" t="s">
        <v>929</v>
      </c>
      <c r="J276" t="s">
        <v>1003</v>
      </c>
      <c r="K276" s="7" t="str">
        <f t="shared" si="9"/>
        <v>C1</v>
      </c>
    </row>
    <row r="277" spans="1:11" s="6" customFormat="1" ht="28" customHeight="1">
      <c r="A277" s="4">
        <v>276</v>
      </c>
      <c r="B277" s="5" t="s">
        <v>30</v>
      </c>
      <c r="C277" s="5" t="s">
        <v>610</v>
      </c>
      <c r="D277" s="5" t="s">
        <v>611</v>
      </c>
      <c r="E277" s="5" t="s">
        <v>612</v>
      </c>
      <c r="F277" s="11"/>
      <c r="G277" t="s">
        <v>1159</v>
      </c>
      <c r="H277" s="12" t="str">
        <f t="shared" si="8"/>
        <v/>
      </c>
      <c r="I277" s="16" t="s">
        <v>931</v>
      </c>
      <c r="J277" t="s">
        <v>1003</v>
      </c>
      <c r="K277" s="7" t="str">
        <f t="shared" si="9"/>
        <v>N2</v>
      </c>
    </row>
    <row r="278" spans="1:11" s="6" customFormat="1" ht="28" customHeight="1">
      <c r="A278" s="4">
        <v>277</v>
      </c>
      <c r="B278" s="5" t="s">
        <v>30</v>
      </c>
      <c r="C278" s="5" t="s">
        <v>430</v>
      </c>
      <c r="D278" s="5" t="s">
        <v>431</v>
      </c>
      <c r="E278" s="5" t="s">
        <v>432</v>
      </c>
      <c r="F278" s="11"/>
      <c r="G278" t="s">
        <v>1160</v>
      </c>
      <c r="H278" s="12" t="str">
        <f t="shared" si="8"/>
        <v/>
      </c>
      <c r="I278" s="16" t="s">
        <v>933</v>
      </c>
      <c r="J278" t="s">
        <v>1003</v>
      </c>
      <c r="K278" s="7" t="str">
        <f t="shared" si="9"/>
        <v>E2</v>
      </c>
    </row>
    <row r="279" spans="1:11" s="6" customFormat="1" ht="28" customHeight="1">
      <c r="A279" s="4">
        <v>278</v>
      </c>
      <c r="B279" s="5" t="s">
        <v>30</v>
      </c>
      <c r="C279" s="5" t="s">
        <v>790</v>
      </c>
      <c r="D279" s="5" t="s">
        <v>791</v>
      </c>
      <c r="E279" s="5" t="s">
        <v>792</v>
      </c>
      <c r="F279" s="11"/>
      <c r="G279" t="s">
        <v>1161</v>
      </c>
      <c r="H279" s="12" t="str">
        <f t="shared" si="8"/>
        <v/>
      </c>
      <c r="I279" s="16" t="s">
        <v>935</v>
      </c>
      <c r="J279" t="s">
        <v>1003</v>
      </c>
      <c r="K279" s="7" t="str">
        <f t="shared" si="9"/>
        <v>O2</v>
      </c>
    </row>
    <row r="280" spans="1:11" s="6" customFormat="1" ht="28" customHeight="1">
      <c r="A280" s="4">
        <v>279</v>
      </c>
      <c r="B280" s="5" t="s">
        <v>30</v>
      </c>
      <c r="C280" s="5" t="s">
        <v>58</v>
      </c>
      <c r="D280" s="5" t="s">
        <v>59</v>
      </c>
      <c r="E280" s="5" t="s">
        <v>60</v>
      </c>
      <c r="F280" s="11"/>
      <c r="G280" t="s">
        <v>1162</v>
      </c>
      <c r="H280" s="12" t="str">
        <f t="shared" si="8"/>
        <v/>
      </c>
      <c r="I280" s="16" t="s">
        <v>937</v>
      </c>
      <c r="J280" t="s">
        <v>1003</v>
      </c>
      <c r="K280" s="7" t="str">
        <f t="shared" si="9"/>
        <v>A2</v>
      </c>
    </row>
    <row r="281" spans="1:11" s="6" customFormat="1" ht="28" customHeight="1">
      <c r="A281" s="4">
        <v>280</v>
      </c>
      <c r="B281" s="5" t="s">
        <v>30</v>
      </c>
      <c r="C281" s="5" t="s">
        <v>250</v>
      </c>
      <c r="D281" s="5" t="s">
        <v>251</v>
      </c>
      <c r="E281" s="5" t="s">
        <v>252</v>
      </c>
      <c r="F281" s="11"/>
      <c r="G281" t="s">
        <v>938</v>
      </c>
      <c r="H281" s="12" t="str">
        <f t="shared" si="8"/>
        <v/>
      </c>
      <c r="I281" s="16" t="s">
        <v>939</v>
      </c>
      <c r="J281" t="s">
        <v>1003</v>
      </c>
      <c r="K281" s="7" t="str">
        <f t="shared" si="9"/>
        <v>C2</v>
      </c>
    </row>
    <row r="282" spans="1:11" s="6" customFormat="1" ht="28" customHeight="1">
      <c r="A282" s="4">
        <v>281</v>
      </c>
      <c r="B282" s="5" t="s">
        <v>30</v>
      </c>
      <c r="C282" s="5" t="s">
        <v>640</v>
      </c>
      <c r="D282" s="5" t="s">
        <v>641</v>
      </c>
      <c r="E282" s="5" t="s">
        <v>642</v>
      </c>
      <c r="F282" s="11"/>
      <c r="G282" t="s">
        <v>1163</v>
      </c>
      <c r="H282" s="12" t="str">
        <f t="shared" si="8"/>
        <v/>
      </c>
      <c r="I282" s="16" t="s">
        <v>941</v>
      </c>
      <c r="J282" t="s">
        <v>1003</v>
      </c>
      <c r="K282" s="7" t="str">
        <f t="shared" si="9"/>
        <v>N3</v>
      </c>
    </row>
    <row r="283" spans="1:11" s="6" customFormat="1" ht="28" customHeight="1">
      <c r="A283" s="4">
        <v>282</v>
      </c>
      <c r="B283" s="5" t="s">
        <v>30</v>
      </c>
      <c r="C283" s="5" t="s">
        <v>460</v>
      </c>
      <c r="D283" s="5" t="s">
        <v>461</v>
      </c>
      <c r="E283" s="5" t="s">
        <v>462</v>
      </c>
      <c r="F283" s="11"/>
      <c r="G283" t="s">
        <v>1164</v>
      </c>
      <c r="H283" s="12" t="str">
        <f t="shared" si="8"/>
        <v/>
      </c>
      <c r="I283" s="16" t="s">
        <v>943</v>
      </c>
      <c r="J283" t="s">
        <v>1003</v>
      </c>
      <c r="K283" s="7" t="str">
        <f t="shared" si="9"/>
        <v>E3</v>
      </c>
    </row>
    <row r="284" spans="1:11" s="6" customFormat="1" ht="28" customHeight="1">
      <c r="A284" s="4">
        <v>283</v>
      </c>
      <c r="B284" s="5" t="s">
        <v>30</v>
      </c>
      <c r="C284" s="5" t="s">
        <v>811</v>
      </c>
      <c r="D284" s="5" t="s">
        <v>812</v>
      </c>
      <c r="E284" s="5" t="s">
        <v>813</v>
      </c>
      <c r="F284" s="11"/>
      <c r="G284" t="s">
        <v>944</v>
      </c>
      <c r="H284" s="12" t="str">
        <f t="shared" si="8"/>
        <v/>
      </c>
      <c r="I284" s="16" t="s">
        <v>945</v>
      </c>
      <c r="J284" t="s">
        <v>1003</v>
      </c>
      <c r="K284" s="7" t="str">
        <f t="shared" si="9"/>
        <v>O3</v>
      </c>
    </row>
    <row r="285" spans="1:11" s="6" customFormat="1" ht="28" customHeight="1">
      <c r="A285" s="4">
        <v>284</v>
      </c>
      <c r="B285" s="5" t="s">
        <v>30</v>
      </c>
      <c r="C285" s="5" t="s">
        <v>91</v>
      </c>
      <c r="D285" s="5" t="s">
        <v>92</v>
      </c>
      <c r="E285" s="5" t="s">
        <v>93</v>
      </c>
      <c r="F285" s="11"/>
      <c r="G285" t="s">
        <v>1165</v>
      </c>
      <c r="H285" s="12" t="str">
        <f t="shared" si="8"/>
        <v/>
      </c>
      <c r="I285" s="16" t="s">
        <v>947</v>
      </c>
      <c r="J285" t="s">
        <v>1003</v>
      </c>
      <c r="K285" s="7" t="str">
        <f t="shared" si="9"/>
        <v>A3</v>
      </c>
    </row>
    <row r="286" spans="1:11" s="6" customFormat="1" ht="28" customHeight="1">
      <c r="A286" s="4">
        <v>285</v>
      </c>
      <c r="B286" s="5" t="s">
        <v>30</v>
      </c>
      <c r="C286" s="5" t="s">
        <v>280</v>
      </c>
      <c r="D286" s="5" t="s">
        <v>281</v>
      </c>
      <c r="E286" s="5" t="s">
        <v>282</v>
      </c>
      <c r="F286" s="11"/>
      <c r="G286" t="s">
        <v>1166</v>
      </c>
      <c r="H286" s="12" t="str">
        <f t="shared" si="8"/>
        <v/>
      </c>
      <c r="I286" s="16" t="s">
        <v>949</v>
      </c>
      <c r="J286" t="s">
        <v>1003</v>
      </c>
      <c r="K286" s="7" t="str">
        <f t="shared" si="9"/>
        <v>C3</v>
      </c>
    </row>
    <row r="287" spans="1:11" s="6" customFormat="1" ht="28" customHeight="1">
      <c r="A287" s="4">
        <v>286</v>
      </c>
      <c r="B287" s="5" t="s">
        <v>30</v>
      </c>
      <c r="C287" s="5" t="s">
        <v>670</v>
      </c>
      <c r="D287" s="5" t="s">
        <v>671</v>
      </c>
      <c r="E287" s="5" t="s">
        <v>672</v>
      </c>
      <c r="F287" s="11"/>
      <c r="G287" t="s">
        <v>1167</v>
      </c>
      <c r="H287" s="12" t="str">
        <f t="shared" si="8"/>
        <v/>
      </c>
      <c r="I287" s="16" t="s">
        <v>951</v>
      </c>
      <c r="J287" t="s">
        <v>1003</v>
      </c>
      <c r="K287" s="7" t="str">
        <f t="shared" si="9"/>
        <v>N4</v>
      </c>
    </row>
    <row r="288" spans="1:11" s="6" customFormat="1" ht="28" customHeight="1">
      <c r="A288" s="4">
        <v>287</v>
      </c>
      <c r="B288" s="5" t="s">
        <v>30</v>
      </c>
      <c r="C288" s="5" t="s">
        <v>490</v>
      </c>
      <c r="D288" s="5" t="s">
        <v>491</v>
      </c>
      <c r="E288" s="5" t="s">
        <v>492</v>
      </c>
      <c r="F288" s="11"/>
      <c r="G288" t="s">
        <v>1084</v>
      </c>
      <c r="H288" s="12" t="str">
        <f t="shared" si="8"/>
        <v/>
      </c>
      <c r="I288" s="16" t="s">
        <v>953</v>
      </c>
      <c r="J288" t="s">
        <v>1003</v>
      </c>
      <c r="K288" s="7" t="str">
        <f t="shared" si="9"/>
        <v>E4</v>
      </c>
    </row>
    <row r="289" spans="1:11" s="6" customFormat="1" ht="28" customHeight="1">
      <c r="A289" s="4">
        <v>288</v>
      </c>
      <c r="B289" s="5" t="s">
        <v>30</v>
      </c>
      <c r="C289" s="5" t="s">
        <v>841</v>
      </c>
      <c r="D289" s="5" t="s">
        <v>842</v>
      </c>
      <c r="E289" s="5" t="s">
        <v>843</v>
      </c>
      <c r="F289" s="11"/>
      <c r="G289" t="s">
        <v>1168</v>
      </c>
      <c r="H289" s="12" t="str">
        <f t="shared" si="8"/>
        <v/>
      </c>
      <c r="I289" s="16" t="s">
        <v>955</v>
      </c>
      <c r="J289" t="s">
        <v>1003</v>
      </c>
      <c r="K289" s="7" t="str">
        <f t="shared" si="9"/>
        <v>O4</v>
      </c>
    </row>
    <row r="290" spans="1:11" s="6" customFormat="1" ht="28" customHeight="1">
      <c r="A290" s="4">
        <v>289</v>
      </c>
      <c r="B290" s="5" t="s">
        <v>30</v>
      </c>
      <c r="C290" s="5" t="s">
        <v>130</v>
      </c>
      <c r="D290" s="5" t="s">
        <v>131</v>
      </c>
      <c r="E290" s="5" t="s">
        <v>132</v>
      </c>
      <c r="F290" s="11"/>
      <c r="G290" t="s">
        <v>1169</v>
      </c>
      <c r="H290" s="12" t="str">
        <f t="shared" si="8"/>
        <v/>
      </c>
      <c r="I290" s="16" t="s">
        <v>957</v>
      </c>
      <c r="J290" t="s">
        <v>1003</v>
      </c>
      <c r="K290" s="7" t="str">
        <f t="shared" si="9"/>
        <v>A4</v>
      </c>
    </row>
    <row r="291" spans="1:11" s="6" customFormat="1" ht="28" customHeight="1">
      <c r="A291" s="4">
        <v>290</v>
      </c>
      <c r="B291" s="5" t="s">
        <v>30</v>
      </c>
      <c r="C291" s="5" t="s">
        <v>304</v>
      </c>
      <c r="D291" s="5" t="s">
        <v>305</v>
      </c>
      <c r="E291" s="5" t="s">
        <v>306</v>
      </c>
      <c r="F291" s="11"/>
      <c r="G291" t="s">
        <v>1170</v>
      </c>
      <c r="H291" s="12" t="str">
        <f t="shared" si="8"/>
        <v/>
      </c>
      <c r="I291" s="16" t="s">
        <v>959</v>
      </c>
      <c r="J291" t="s">
        <v>1003</v>
      </c>
      <c r="K291" s="7" t="str">
        <f t="shared" si="9"/>
        <v>C4</v>
      </c>
    </row>
    <row r="292" spans="1:11" s="6" customFormat="1" ht="28" customHeight="1">
      <c r="A292" s="4">
        <v>291</v>
      </c>
      <c r="B292" s="5" t="s">
        <v>30</v>
      </c>
      <c r="C292" s="5" t="s">
        <v>700</v>
      </c>
      <c r="D292" s="5" t="s">
        <v>701</v>
      </c>
      <c r="E292" s="5" t="s">
        <v>702</v>
      </c>
      <c r="F292" s="11"/>
      <c r="G292" t="s">
        <v>1171</v>
      </c>
      <c r="H292" s="12" t="str">
        <f t="shared" si="8"/>
        <v/>
      </c>
      <c r="I292" s="16" t="s">
        <v>961</v>
      </c>
      <c r="J292" t="s">
        <v>1003</v>
      </c>
      <c r="K292" s="7" t="str">
        <f t="shared" si="9"/>
        <v>N5</v>
      </c>
    </row>
    <row r="293" spans="1:11" s="6" customFormat="1" ht="28" customHeight="1">
      <c r="A293" s="4">
        <v>292</v>
      </c>
      <c r="B293" s="5" t="s">
        <v>30</v>
      </c>
      <c r="C293" s="5" t="s">
        <v>520</v>
      </c>
      <c r="D293" s="5" t="s">
        <v>521</v>
      </c>
      <c r="E293" s="5" t="s">
        <v>522</v>
      </c>
      <c r="F293" s="11"/>
      <c r="G293" t="s">
        <v>1172</v>
      </c>
      <c r="H293" s="12" t="str">
        <f t="shared" si="8"/>
        <v/>
      </c>
      <c r="I293" s="16" t="s">
        <v>963</v>
      </c>
      <c r="J293" t="s">
        <v>1003</v>
      </c>
      <c r="K293" s="7" t="str">
        <f t="shared" si="9"/>
        <v>E5</v>
      </c>
    </row>
    <row r="294" spans="1:11" s="6" customFormat="1" ht="28" customHeight="1">
      <c r="A294" s="4">
        <v>293</v>
      </c>
      <c r="B294" s="5" t="s">
        <v>30</v>
      </c>
      <c r="C294" s="5" t="s">
        <v>880</v>
      </c>
      <c r="D294" s="5" t="s">
        <v>881</v>
      </c>
      <c r="E294" s="5" t="s">
        <v>882</v>
      </c>
      <c r="F294" s="11"/>
      <c r="G294" t="s">
        <v>1173</v>
      </c>
      <c r="H294" s="12" t="str">
        <f t="shared" si="8"/>
        <v/>
      </c>
      <c r="I294" s="16" t="s">
        <v>965</v>
      </c>
      <c r="J294" t="s">
        <v>1003</v>
      </c>
      <c r="K294" s="7" t="str">
        <f t="shared" si="9"/>
        <v>O5</v>
      </c>
    </row>
    <row r="295" spans="1:11" s="6" customFormat="1" ht="28" customHeight="1">
      <c r="A295" s="4">
        <v>294</v>
      </c>
      <c r="B295" s="5" t="s">
        <v>30</v>
      </c>
      <c r="C295" s="5" t="s">
        <v>160</v>
      </c>
      <c r="D295" s="5" t="s">
        <v>161</v>
      </c>
      <c r="E295" s="5" t="s">
        <v>162</v>
      </c>
      <c r="F295" s="11"/>
      <c r="G295" t="s">
        <v>1174</v>
      </c>
      <c r="H295" s="12" t="str">
        <f t="shared" si="8"/>
        <v/>
      </c>
      <c r="I295" s="16" t="s">
        <v>967</v>
      </c>
      <c r="J295" t="s">
        <v>1003</v>
      </c>
      <c r="K295" s="7" t="str">
        <f t="shared" si="9"/>
        <v>A5</v>
      </c>
    </row>
    <row r="296" spans="1:11" s="6" customFormat="1" ht="28" customHeight="1">
      <c r="A296" s="4">
        <v>295</v>
      </c>
      <c r="B296" s="5" t="s">
        <v>30</v>
      </c>
      <c r="C296" s="5" t="s">
        <v>340</v>
      </c>
      <c r="D296" s="5" t="s">
        <v>341</v>
      </c>
      <c r="E296" s="5" t="s">
        <v>342</v>
      </c>
      <c r="F296" s="11"/>
      <c r="G296" t="s">
        <v>1175</v>
      </c>
      <c r="H296" s="12" t="str">
        <f t="shared" si="8"/>
        <v/>
      </c>
      <c r="I296" s="16" t="s">
        <v>969</v>
      </c>
      <c r="J296" t="s">
        <v>1003</v>
      </c>
      <c r="K296" s="7" t="str">
        <f t="shared" si="9"/>
        <v>C5</v>
      </c>
    </row>
    <row r="297" spans="1:11" s="6" customFormat="1" ht="28" customHeight="1">
      <c r="A297" s="4">
        <v>296</v>
      </c>
      <c r="B297" s="5" t="s">
        <v>30</v>
      </c>
      <c r="C297" s="5" t="s">
        <v>730</v>
      </c>
      <c r="D297" s="5" t="s">
        <v>731</v>
      </c>
      <c r="E297" s="5" t="s">
        <v>732</v>
      </c>
      <c r="F297" s="11"/>
      <c r="G297" t="s">
        <v>1176</v>
      </c>
      <c r="H297" s="12" t="str">
        <f t="shared" si="8"/>
        <v/>
      </c>
      <c r="I297" s="16" t="s">
        <v>971</v>
      </c>
      <c r="J297" t="s">
        <v>1003</v>
      </c>
      <c r="K297" s="7" t="str">
        <f t="shared" si="9"/>
        <v>N6</v>
      </c>
    </row>
    <row r="298" spans="1:11" s="6" customFormat="1" ht="28" customHeight="1">
      <c r="A298" s="4">
        <v>297</v>
      </c>
      <c r="B298" s="5" t="s">
        <v>30</v>
      </c>
      <c r="C298" s="5" t="s">
        <v>550</v>
      </c>
      <c r="D298" s="5" t="s">
        <v>551</v>
      </c>
      <c r="E298" s="5" t="s">
        <v>552</v>
      </c>
      <c r="F298" s="11"/>
      <c r="G298" t="s">
        <v>1177</v>
      </c>
      <c r="H298" s="12" t="str">
        <f t="shared" si="8"/>
        <v/>
      </c>
      <c r="I298" s="16" t="s">
        <v>973</v>
      </c>
      <c r="J298" t="s">
        <v>1003</v>
      </c>
      <c r="K298" s="7" t="str">
        <f t="shared" si="9"/>
        <v>E6</v>
      </c>
    </row>
    <row r="299" spans="1:11" s="6" customFormat="1" ht="28" customHeight="1">
      <c r="A299" s="4">
        <v>298</v>
      </c>
      <c r="B299" s="5" t="s">
        <v>30</v>
      </c>
      <c r="C299" s="5" t="s">
        <v>910</v>
      </c>
      <c r="D299" s="5" t="s">
        <v>911</v>
      </c>
      <c r="E299" s="5" t="s">
        <v>912</v>
      </c>
      <c r="F299" s="11"/>
      <c r="G299" t="s">
        <v>1178</v>
      </c>
      <c r="H299" s="12" t="str">
        <f t="shared" si="8"/>
        <v/>
      </c>
      <c r="I299" s="16" t="s">
        <v>975</v>
      </c>
      <c r="J299" t="s">
        <v>1003</v>
      </c>
      <c r="K299" s="7" t="str">
        <f t="shared" si="9"/>
        <v>O6</v>
      </c>
    </row>
    <row r="300" spans="1:11" s="6" customFormat="1" ht="28" customHeight="1">
      <c r="A300" s="4">
        <v>299</v>
      </c>
      <c r="B300" s="5" t="s">
        <v>30</v>
      </c>
      <c r="C300" s="5" t="s">
        <v>190</v>
      </c>
      <c r="D300" s="5" t="s">
        <v>191</v>
      </c>
      <c r="E300" s="5" t="s">
        <v>192</v>
      </c>
      <c r="F300" s="11"/>
      <c r="G300" t="s">
        <v>1179</v>
      </c>
      <c r="H300" s="12" t="str">
        <f t="shared" si="8"/>
        <v/>
      </c>
      <c r="I300" s="16" t="s">
        <v>977</v>
      </c>
      <c r="J300" t="s">
        <v>1003</v>
      </c>
      <c r="K300" s="7" t="str">
        <f t="shared" si="9"/>
        <v>A6</v>
      </c>
    </row>
    <row r="301" spans="1:11" s="6" customFormat="1" ht="28" customHeight="1">
      <c r="A301" s="4">
        <v>300</v>
      </c>
      <c r="B301" s="5" t="s">
        <v>30</v>
      </c>
      <c r="C301" s="5" t="s">
        <v>370</v>
      </c>
      <c r="D301" s="5" t="s">
        <v>371</v>
      </c>
      <c r="E301" s="5" t="s">
        <v>372</v>
      </c>
      <c r="F301" s="11"/>
      <c r="G301" t="s">
        <v>1180</v>
      </c>
      <c r="H301" s="12" t="str">
        <f t="shared" si="8"/>
        <v/>
      </c>
      <c r="I301" s="16" t="s">
        <v>979</v>
      </c>
      <c r="J301" t="s">
        <v>1003</v>
      </c>
      <c r="K301" s="7" t="str">
        <f t="shared" si="9"/>
        <v>C6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7"/>
  <sheetViews>
    <sheetView workbookViewId="0"/>
  </sheetViews>
  <sheetFormatPr baseColWidth="10" defaultColWidth="8.83203125" defaultRowHeight="13"/>
  <cols>
    <col min="1" max="1" width="18" style="6" customWidth="1"/>
    <col min="2" max="3" width="16" style="6" customWidth="1"/>
    <col min="4" max="4" width="14" style="6" customWidth="1"/>
  </cols>
  <sheetData>
    <row r="1" spans="1:4" s="6" customFormat="1" ht="32" customHeight="1">
      <c r="A1" s="18" t="s">
        <v>1181</v>
      </c>
      <c r="B1" s="19"/>
      <c r="C1" s="19"/>
      <c r="D1" s="19"/>
    </row>
    <row r="2" spans="1:4" s="6" customFormat="1" ht="48" customHeight="1">
      <c r="A2" s="21" t="s">
        <v>1182</v>
      </c>
      <c r="B2" s="19"/>
      <c r="C2" s="19"/>
      <c r="D2" s="19"/>
    </row>
    <row r="4" spans="1:4" s="6" customFormat="1" ht="24" customHeight="1">
      <c r="A4" s="13" t="s">
        <v>1183</v>
      </c>
      <c r="B4" s="13" t="s">
        <v>1184</v>
      </c>
      <c r="C4" s="13" t="s">
        <v>1185</v>
      </c>
      <c r="D4" s="13" t="s">
        <v>1186</v>
      </c>
    </row>
    <row r="5" spans="1:4">
      <c r="A5" s="8" t="s">
        <v>1187</v>
      </c>
      <c r="B5" s="9">
        <f t="shared" ref="B5:B34" si="0">IF($D5=0,"",$C5/$D5)</f>
        <v>1.8333333333333333</v>
      </c>
      <c r="C5" s="10">
        <f>IF($D5=0,"",SUMIFS(Test_Sorted!$H$2:$H$301,Test_Sorted!$K$2:$K$301,$A5))</f>
        <v>5.5</v>
      </c>
      <c r="D5" s="10">
        <f>COUNTIFS(Test_Sorted!$K$2:$K$301,$A5,Test_Sorted!$H$2:$H$301,"&gt;0")</f>
        <v>3</v>
      </c>
    </row>
    <row r="6" spans="1:4">
      <c r="A6" s="8" t="s">
        <v>1188</v>
      </c>
      <c r="B6" s="9">
        <f t="shared" si="0"/>
        <v>2.5</v>
      </c>
      <c r="C6" s="10">
        <f>IF($D6=0,"",SUMIFS(Test_Sorted!$H$2:$H$301,Test_Sorted!$K$2:$K$301,$A6))</f>
        <v>7.5</v>
      </c>
      <c r="D6" s="10">
        <f>COUNTIFS(Test_Sorted!$K$2:$K$301,$A6,Test_Sorted!$H$2:$H$301,"&gt;0")</f>
        <v>3</v>
      </c>
    </row>
    <row r="7" spans="1:4">
      <c r="A7" s="8" t="s">
        <v>1189</v>
      </c>
      <c r="B7" s="9">
        <f t="shared" si="0"/>
        <v>3.625</v>
      </c>
      <c r="C7" s="10">
        <f>IF($D7=0,"",SUMIFS(Test_Sorted!$H$2:$H$301,Test_Sorted!$K$2:$K$301,$A7))</f>
        <v>7.25</v>
      </c>
      <c r="D7" s="10">
        <f>COUNTIFS(Test_Sorted!$K$2:$K$301,$A7,Test_Sorted!$H$2:$H$301,"&gt;0")</f>
        <v>2</v>
      </c>
    </row>
    <row r="8" spans="1:4">
      <c r="A8" s="8" t="s">
        <v>1190</v>
      </c>
      <c r="B8" s="9">
        <f t="shared" si="0"/>
        <v>1.75</v>
      </c>
      <c r="C8" s="10">
        <f>IF($D8=0,"",SUMIFS(Test_Sorted!$H$2:$H$301,Test_Sorted!$K$2:$K$301,$A8))</f>
        <v>3.5</v>
      </c>
      <c r="D8" s="10">
        <f>COUNTIFS(Test_Sorted!$K$2:$K$301,$A8,Test_Sorted!$H$2:$H$301,"&gt;0")</f>
        <v>2</v>
      </c>
    </row>
    <row r="9" spans="1:4">
      <c r="A9" s="8" t="s">
        <v>1191</v>
      </c>
      <c r="B9" s="9">
        <f t="shared" si="0"/>
        <v>4</v>
      </c>
      <c r="C9" s="10">
        <f>IF($D9=0,"",SUMIFS(Test_Sorted!$H$2:$H$301,Test_Sorted!$K$2:$K$301,$A9))</f>
        <v>8</v>
      </c>
      <c r="D9" s="10">
        <f>COUNTIFS(Test_Sorted!$K$2:$K$301,$A9,Test_Sorted!$H$2:$H$301,"&gt;0")</f>
        <v>2</v>
      </c>
    </row>
    <row r="10" spans="1:4">
      <c r="A10" s="8" t="s">
        <v>1192</v>
      </c>
      <c r="B10" s="9">
        <f t="shared" si="0"/>
        <v>2.875</v>
      </c>
      <c r="C10" s="10">
        <f>IF($D10=0,"",SUMIFS(Test_Sorted!$H$2:$H$301,Test_Sorted!$K$2:$K$301,$A10))</f>
        <v>5.75</v>
      </c>
      <c r="D10" s="10">
        <f>COUNTIFS(Test_Sorted!$K$2:$K$301,$A10,Test_Sorted!$H$2:$H$301,"&gt;0")</f>
        <v>2</v>
      </c>
    </row>
    <row r="11" spans="1:4">
      <c r="A11" s="8" t="s">
        <v>1193</v>
      </c>
      <c r="B11" s="9">
        <f t="shared" si="0"/>
        <v>4.166666666666667</v>
      </c>
      <c r="C11" s="10">
        <f>IF($D11=0,"",SUMIFS(Test_Sorted!$H$2:$H$301,Test_Sorted!$K$2:$K$301,$A11))</f>
        <v>12.5</v>
      </c>
      <c r="D11" s="10">
        <f>COUNTIFS(Test_Sorted!$K$2:$K$301,$A11,Test_Sorted!$H$2:$H$301,"&gt;0")</f>
        <v>3</v>
      </c>
    </row>
    <row r="12" spans="1:4">
      <c r="A12" s="8" t="s">
        <v>1194</v>
      </c>
      <c r="B12" s="9">
        <f t="shared" si="0"/>
        <v>2</v>
      </c>
      <c r="C12" s="10">
        <f>IF($D12=0,"",SUMIFS(Test_Sorted!$H$2:$H$301,Test_Sorted!$K$2:$K$301,$A12))</f>
        <v>6</v>
      </c>
      <c r="D12" s="10">
        <f>COUNTIFS(Test_Sorted!$K$2:$K$301,$A12,Test_Sorted!$H$2:$H$301,"&gt;0")</f>
        <v>3</v>
      </c>
    </row>
    <row r="13" spans="1:4">
      <c r="A13" s="8" t="s">
        <v>1195</v>
      </c>
      <c r="B13" s="9">
        <f t="shared" si="0"/>
        <v>2</v>
      </c>
      <c r="C13" s="10">
        <f>IF($D13=0,"",SUMIFS(Test_Sorted!$H$2:$H$301,Test_Sorted!$K$2:$K$301,$A13))</f>
        <v>4</v>
      </c>
      <c r="D13" s="10">
        <f>COUNTIFS(Test_Sorted!$K$2:$K$301,$A13,Test_Sorted!$H$2:$H$301,"&gt;0")</f>
        <v>2</v>
      </c>
    </row>
    <row r="14" spans="1:4">
      <c r="A14" s="8" t="s">
        <v>1196</v>
      </c>
      <c r="B14" s="9">
        <f t="shared" si="0"/>
        <v>4.5</v>
      </c>
      <c r="C14" s="10">
        <f>IF($D14=0,"",SUMIFS(Test_Sorted!$H$2:$H$301,Test_Sorted!$K$2:$K$301,$A14))</f>
        <v>9</v>
      </c>
      <c r="D14" s="10">
        <f>COUNTIFS(Test_Sorted!$K$2:$K$301,$A14,Test_Sorted!$H$2:$H$301,"&gt;0")</f>
        <v>2</v>
      </c>
    </row>
    <row r="15" spans="1:4">
      <c r="A15" s="8" t="s">
        <v>1197</v>
      </c>
      <c r="B15" s="9">
        <f t="shared" si="0"/>
        <v>1.75</v>
      </c>
      <c r="C15" s="10">
        <f>IF($D15=0,"",SUMIFS(Test_Sorted!$H$2:$H$301,Test_Sorted!$K$2:$K$301,$A15))</f>
        <v>3.5</v>
      </c>
      <c r="D15" s="10">
        <f>COUNTIFS(Test_Sorted!$K$2:$K$301,$A15,Test_Sorted!$H$2:$H$301,"&gt;0")</f>
        <v>2</v>
      </c>
    </row>
    <row r="16" spans="1:4">
      <c r="A16" s="8" t="s">
        <v>1198</v>
      </c>
      <c r="B16" s="9">
        <f t="shared" si="0"/>
        <v>4.5</v>
      </c>
      <c r="C16" s="10">
        <f>IF($D16=0,"",SUMIFS(Test_Sorted!$H$2:$H$301,Test_Sorted!$K$2:$K$301,$A16))</f>
        <v>9</v>
      </c>
      <c r="D16" s="10">
        <f>COUNTIFS(Test_Sorted!$K$2:$K$301,$A16,Test_Sorted!$H$2:$H$301,"&gt;0")</f>
        <v>2</v>
      </c>
    </row>
    <row r="17" spans="1:4">
      <c r="A17" s="8" t="s">
        <v>1199</v>
      </c>
      <c r="B17" s="9">
        <f t="shared" si="0"/>
        <v>2</v>
      </c>
      <c r="C17" s="10">
        <f>IF($D17=0,"",SUMIFS(Test_Sorted!$H$2:$H$301,Test_Sorted!$K$2:$K$301,$A17))</f>
        <v>6</v>
      </c>
      <c r="D17" s="10">
        <f>COUNTIFS(Test_Sorted!$K$2:$K$301,$A17,Test_Sorted!$H$2:$H$301,"&gt;0")</f>
        <v>3</v>
      </c>
    </row>
    <row r="18" spans="1:4">
      <c r="A18" s="8" t="s">
        <v>1200</v>
      </c>
      <c r="B18" s="9">
        <f t="shared" si="0"/>
        <v>2.3333333333333335</v>
      </c>
      <c r="C18" s="10">
        <f>IF($D18=0,"",SUMIFS(Test_Sorted!$H$2:$H$301,Test_Sorted!$K$2:$K$301,$A18))</f>
        <v>7</v>
      </c>
      <c r="D18" s="10">
        <f>COUNTIFS(Test_Sorted!$K$2:$K$301,$A18,Test_Sorted!$H$2:$H$301,"&gt;0")</f>
        <v>3</v>
      </c>
    </row>
    <row r="19" spans="1:4">
      <c r="A19" s="8" t="s">
        <v>1201</v>
      </c>
      <c r="B19" s="9">
        <f t="shared" si="0"/>
        <v>3.75</v>
      </c>
      <c r="C19" s="10">
        <f>IF($D19=0,"",SUMIFS(Test_Sorted!$H$2:$H$301,Test_Sorted!$K$2:$K$301,$A19))</f>
        <v>7.5</v>
      </c>
      <c r="D19" s="10">
        <f>COUNTIFS(Test_Sorted!$K$2:$K$301,$A19,Test_Sorted!$H$2:$H$301,"&gt;0")</f>
        <v>2</v>
      </c>
    </row>
    <row r="20" spans="1:4">
      <c r="A20" s="8" t="s">
        <v>1202</v>
      </c>
      <c r="B20" s="9">
        <f t="shared" si="0"/>
        <v>4</v>
      </c>
      <c r="C20" s="10">
        <f>IF($D20=0,"",SUMIFS(Test_Sorted!$H$2:$H$301,Test_Sorted!$K$2:$K$301,$A20))</f>
        <v>8</v>
      </c>
      <c r="D20" s="10">
        <f>COUNTIFS(Test_Sorted!$K$2:$K$301,$A20,Test_Sorted!$H$2:$H$301,"&gt;0")</f>
        <v>2</v>
      </c>
    </row>
    <row r="21" spans="1:4">
      <c r="A21" s="8" t="s">
        <v>1203</v>
      </c>
      <c r="B21" s="9">
        <f t="shared" si="0"/>
        <v>4.75</v>
      </c>
      <c r="C21" s="10">
        <f>IF($D21=0,"",SUMIFS(Test_Sorted!$H$2:$H$301,Test_Sorted!$K$2:$K$301,$A21))</f>
        <v>9.5</v>
      </c>
      <c r="D21" s="10">
        <f>COUNTIFS(Test_Sorted!$K$2:$K$301,$A21,Test_Sorted!$H$2:$H$301,"&gt;0")</f>
        <v>2</v>
      </c>
    </row>
    <row r="22" spans="1:4">
      <c r="A22" s="8" t="s">
        <v>1204</v>
      </c>
      <c r="B22" s="9">
        <f t="shared" si="0"/>
        <v>3.5</v>
      </c>
      <c r="C22" s="10">
        <f>IF($D22=0,"",SUMIFS(Test_Sorted!$H$2:$H$301,Test_Sorted!$K$2:$K$301,$A22))</f>
        <v>7</v>
      </c>
      <c r="D22" s="10">
        <f>COUNTIFS(Test_Sorted!$K$2:$K$301,$A22,Test_Sorted!$H$2:$H$301,"&gt;0")</f>
        <v>2</v>
      </c>
    </row>
    <row r="23" spans="1:4">
      <c r="A23" s="8" t="s">
        <v>1205</v>
      </c>
      <c r="B23" s="9">
        <f t="shared" si="0"/>
        <v>4.5</v>
      </c>
      <c r="C23" s="10">
        <f>IF($D23=0,"",SUMIFS(Test_Sorted!$H$2:$H$301,Test_Sorted!$K$2:$K$301,$A23))</f>
        <v>13.5</v>
      </c>
      <c r="D23" s="10">
        <f>COUNTIFS(Test_Sorted!$K$2:$K$301,$A23,Test_Sorted!$H$2:$H$301,"&gt;0")</f>
        <v>3</v>
      </c>
    </row>
    <row r="24" spans="1:4">
      <c r="A24" s="8" t="s">
        <v>1206</v>
      </c>
      <c r="B24" s="9">
        <f t="shared" si="0"/>
        <v>4</v>
      </c>
      <c r="C24" s="10">
        <f>IF($D24=0,"",SUMIFS(Test_Sorted!$H$2:$H$301,Test_Sorted!$K$2:$K$301,$A24))</f>
        <v>12</v>
      </c>
      <c r="D24" s="10">
        <f>COUNTIFS(Test_Sorted!$K$2:$K$301,$A24,Test_Sorted!$H$2:$H$301,"&gt;0")</f>
        <v>3</v>
      </c>
    </row>
    <row r="25" spans="1:4">
      <c r="A25" s="8" t="s">
        <v>1207</v>
      </c>
      <c r="B25" s="9">
        <f t="shared" si="0"/>
        <v>3.5</v>
      </c>
      <c r="C25" s="10">
        <f>IF($D25=0,"",SUMIFS(Test_Sorted!$H$2:$H$301,Test_Sorted!$K$2:$K$301,$A25))</f>
        <v>7</v>
      </c>
      <c r="D25" s="10">
        <f>COUNTIFS(Test_Sorted!$K$2:$K$301,$A25,Test_Sorted!$H$2:$H$301,"&gt;0")</f>
        <v>2</v>
      </c>
    </row>
    <row r="26" spans="1:4">
      <c r="A26" s="8" t="s">
        <v>1208</v>
      </c>
      <c r="B26" s="9">
        <f t="shared" si="0"/>
        <v>5</v>
      </c>
      <c r="C26" s="10">
        <f>IF($D26=0,"",SUMIFS(Test_Sorted!$H$2:$H$301,Test_Sorted!$K$2:$K$301,$A26))</f>
        <v>10</v>
      </c>
      <c r="D26" s="10">
        <f>COUNTIFS(Test_Sorted!$K$2:$K$301,$A26,Test_Sorted!$H$2:$H$301,"&gt;0")</f>
        <v>2</v>
      </c>
    </row>
    <row r="27" spans="1:4">
      <c r="A27" s="8" t="s">
        <v>1209</v>
      </c>
      <c r="B27" s="9">
        <f t="shared" si="0"/>
        <v>4.25</v>
      </c>
      <c r="C27" s="10">
        <f>IF($D27=0,"",SUMIFS(Test_Sorted!$H$2:$H$301,Test_Sorted!$K$2:$K$301,$A27))</f>
        <v>8.5</v>
      </c>
      <c r="D27" s="10">
        <f>COUNTIFS(Test_Sorted!$K$2:$K$301,$A27,Test_Sorted!$H$2:$H$301,"&gt;0")</f>
        <v>2</v>
      </c>
    </row>
    <row r="28" spans="1:4">
      <c r="A28" s="8" t="s">
        <v>1210</v>
      </c>
      <c r="B28" s="9">
        <f t="shared" si="0"/>
        <v>1.625</v>
      </c>
      <c r="C28" s="10">
        <f>IF($D28=0,"",SUMIFS(Test_Sorted!$H$2:$H$301,Test_Sorted!$K$2:$K$301,$A28))</f>
        <v>3.25</v>
      </c>
      <c r="D28" s="10">
        <f>COUNTIFS(Test_Sorted!$K$2:$K$301,$A28,Test_Sorted!$H$2:$H$301,"&gt;0")</f>
        <v>2</v>
      </c>
    </row>
    <row r="29" spans="1:4">
      <c r="A29" s="8" t="s">
        <v>1211</v>
      </c>
      <c r="B29" s="9">
        <f t="shared" si="0"/>
        <v>4.166666666666667</v>
      </c>
      <c r="C29" s="10">
        <f>IF($D29=0,"",SUMIFS(Test_Sorted!$H$2:$H$301,Test_Sorted!$K$2:$K$301,$A29))</f>
        <v>12.5</v>
      </c>
      <c r="D29" s="10">
        <f>COUNTIFS(Test_Sorted!$K$2:$K$301,$A29,Test_Sorted!$H$2:$H$301,"&gt;0")</f>
        <v>3</v>
      </c>
    </row>
    <row r="30" spans="1:4">
      <c r="A30" s="8" t="s">
        <v>1212</v>
      </c>
      <c r="B30" s="9">
        <f t="shared" si="0"/>
        <v>4.083333333333333</v>
      </c>
      <c r="C30" s="10">
        <f>IF($D30=0,"",SUMIFS(Test_Sorted!$H$2:$H$301,Test_Sorted!$K$2:$K$301,$A30))</f>
        <v>12.25</v>
      </c>
      <c r="D30" s="10">
        <f>COUNTIFS(Test_Sorted!$K$2:$K$301,$A30,Test_Sorted!$H$2:$H$301,"&gt;0")</f>
        <v>3</v>
      </c>
    </row>
    <row r="31" spans="1:4">
      <c r="A31" s="8" t="s">
        <v>1213</v>
      </c>
      <c r="B31" s="9">
        <f t="shared" si="0"/>
        <v>3.625</v>
      </c>
      <c r="C31" s="10">
        <f>IF($D31=0,"",SUMIFS(Test_Sorted!$H$2:$H$301,Test_Sorted!$K$2:$K$301,$A31))</f>
        <v>7.25</v>
      </c>
      <c r="D31" s="10">
        <f>COUNTIFS(Test_Sorted!$K$2:$K$301,$A31,Test_Sorted!$H$2:$H$301,"&gt;0")</f>
        <v>2</v>
      </c>
    </row>
    <row r="32" spans="1:4">
      <c r="A32" s="8" t="s">
        <v>1214</v>
      </c>
      <c r="B32" s="9">
        <f t="shared" si="0"/>
        <v>4.25</v>
      </c>
      <c r="C32" s="10">
        <f>IF($D32=0,"",SUMIFS(Test_Sorted!$H$2:$H$301,Test_Sorted!$K$2:$K$301,$A32))</f>
        <v>8.5</v>
      </c>
      <c r="D32" s="10">
        <f>COUNTIFS(Test_Sorted!$K$2:$K$301,$A32,Test_Sorted!$H$2:$H$301,"&gt;0")</f>
        <v>2</v>
      </c>
    </row>
    <row r="33" spans="1:4">
      <c r="A33" s="8" t="s">
        <v>1215</v>
      </c>
      <c r="B33" s="9">
        <f t="shared" si="0"/>
        <v>4</v>
      </c>
      <c r="C33" s="10">
        <f>IF($D33=0,"",SUMIFS(Test_Sorted!$H$2:$H$301,Test_Sorted!$K$2:$K$301,$A33))</f>
        <v>8</v>
      </c>
      <c r="D33" s="10">
        <f>COUNTIFS(Test_Sorted!$K$2:$K$301,$A33,Test_Sorted!$H$2:$H$301,"&gt;0")</f>
        <v>2</v>
      </c>
    </row>
    <row r="34" spans="1:4">
      <c r="A34" s="8" t="s">
        <v>1216</v>
      </c>
      <c r="B34" s="9">
        <f t="shared" si="0"/>
        <v>4.25</v>
      </c>
      <c r="C34" s="10">
        <f>IF($D34=0,"",SUMIFS(Test_Sorted!$H$2:$H$301,Test_Sorted!$K$2:$K$301,$A34))</f>
        <v>8.5</v>
      </c>
      <c r="D34" s="10">
        <f>COUNTIFS(Test_Sorted!$K$2:$K$301,$A34,Test_Sorted!$H$2:$H$301,"&gt;0")</f>
        <v>2</v>
      </c>
    </row>
    <row r="37" spans="1:4" s="6" customFormat="1" ht="24" customHeight="1">
      <c r="A37" s="20" t="s">
        <v>1217</v>
      </c>
      <c r="B37" s="19"/>
      <c r="C37" s="19"/>
      <c r="D37" s="19"/>
    </row>
    <row r="38" spans="1:4">
      <c r="A38" s="13" t="s">
        <v>1218</v>
      </c>
      <c r="B38" s="13" t="s">
        <v>1184</v>
      </c>
      <c r="C38" s="13" t="s">
        <v>1185</v>
      </c>
      <c r="D38" s="13" t="s">
        <v>1186</v>
      </c>
    </row>
    <row r="39" spans="1:4">
      <c r="A39" s="8" t="s">
        <v>1219</v>
      </c>
      <c r="B39" s="9">
        <f>IF($D39=0,"",$C39/$D39)</f>
        <v>2.6785714285714284</v>
      </c>
      <c r="C39" s="10">
        <f>IF($D39=0,"",SUMIF(Test_Sorted!$C$2:$C$301,"A*",Test_Sorted!$H$2:$H$301))</f>
        <v>37.5</v>
      </c>
      <c r="D39" s="10">
        <f>COUNTIFS(Test_Sorted!$C$2:$C$301,"A*",Test_Sorted!$H$2:$H$301,"&gt;0")</f>
        <v>14</v>
      </c>
    </row>
    <row r="40" spans="1:4">
      <c r="A40" s="8" t="s">
        <v>1220</v>
      </c>
      <c r="B40" s="9">
        <f>IF($D40=0,"",$C40/$D40)</f>
        <v>3.1428571428571428</v>
      </c>
      <c r="C40" s="10">
        <f>IF($D40=0,"",SUMIF(Test_Sorted!$C$2:$C$301,"C*",Test_Sorted!$H$2:$H$301))</f>
        <v>44</v>
      </c>
      <c r="D40" s="10">
        <f>COUNTIFS(Test_Sorted!$C$2:$C$301,"C*",Test_Sorted!$H$2:$H$301,"&gt;0")</f>
        <v>14</v>
      </c>
    </row>
    <row r="41" spans="1:4">
      <c r="A41" s="8" t="s">
        <v>1221</v>
      </c>
      <c r="B41" s="9">
        <f>IF($D41=0,"",$C41/$D41)</f>
        <v>3.2142857142857144</v>
      </c>
      <c r="C41" s="10">
        <f>IF($D41=0,"",SUMIF(Test_Sorted!$C$2:$C$301,"E*",Test_Sorted!$H$2:$H$301))</f>
        <v>45</v>
      </c>
      <c r="D41" s="10">
        <f>COUNTIFS(Test_Sorted!$C$2:$C$301,"E*",Test_Sorted!$H$2:$H$301,"&gt;0")</f>
        <v>14</v>
      </c>
    </row>
    <row r="42" spans="1:4">
      <c r="A42" s="8" t="s">
        <v>1222</v>
      </c>
      <c r="B42" s="9">
        <f>IF($D42=0,"",$C42/$D42)</f>
        <v>3.875</v>
      </c>
      <c r="C42" s="10">
        <f>IF($D42=0,"",SUMIF(Test_Sorted!$C$2:$C$301,"N*",Test_Sorted!$H$2:$H$301))</f>
        <v>54.25</v>
      </c>
      <c r="D42" s="10">
        <f>COUNTIFS(Test_Sorted!$C$2:$C$301,"N*",Test_Sorted!$H$2:$H$301,"&gt;0")</f>
        <v>14</v>
      </c>
    </row>
    <row r="43" spans="1:4">
      <c r="A43" s="8" t="s">
        <v>1223</v>
      </c>
      <c r="B43" s="9">
        <f>IF($D43=0,"",$C43/$D43)</f>
        <v>4.0714285714285712</v>
      </c>
      <c r="C43" s="10">
        <f>IF($D43=0,"",SUMIF(Test_Sorted!$C$2:$C$301,"O*",Test_Sorted!$H$2:$H$301))</f>
        <v>57</v>
      </c>
      <c r="D43" s="10">
        <f>COUNTIFS(Test_Sorted!$C$2:$C$301,"O*",Test_Sorted!$H$2:$H$301,"&gt;0")</f>
        <v>14</v>
      </c>
    </row>
    <row r="45" spans="1:4">
      <c r="A45" s="8" t="s">
        <v>1224</v>
      </c>
      <c r="B45" s="9">
        <f>IF($D45=0,"",$C45/$D45)</f>
        <v>3.3964285714285714</v>
      </c>
      <c r="C45" s="10">
        <f>IF($D45=0,"",SUM(Test_Sorted!$H$2:$H$301))</f>
        <v>237.75</v>
      </c>
      <c r="D45" s="10">
        <f>COUNTIFS(Test_Sorted!$H$2:$H$301,"&gt;0")</f>
        <v>70</v>
      </c>
    </row>
    <row r="47" spans="1:4" s="6" customFormat="1" ht="40" customHeight="1">
      <c r="A47" s="21" t="s">
        <v>1225</v>
      </c>
      <c r="B47" s="19"/>
      <c r="C47" s="19"/>
      <c r="D47" s="19"/>
    </row>
  </sheetData>
  <mergeCells count="4">
    <mergeCell ref="A1:D1"/>
    <mergeCell ref="A37:D37"/>
    <mergeCell ref="A47:D47"/>
    <mergeCell ref="A2:D2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1"/>
  <sheetViews>
    <sheetView workbookViewId="0"/>
  </sheetViews>
  <sheetFormatPr baseColWidth="10" defaultColWidth="8.83203125" defaultRowHeight="13"/>
  <cols>
    <col min="1" max="1" width="8" style="6" customWidth="1"/>
    <col min="2" max="2" width="45" style="6" customWidth="1"/>
    <col min="3" max="4" width="35" style="6" customWidth="1"/>
    <col min="5" max="5" width="10" style="6" customWidth="1"/>
  </cols>
  <sheetData>
    <row r="1" spans="1:5" ht="14">
      <c r="A1" t="s">
        <v>6</v>
      </c>
      <c r="B1" t="s">
        <v>1226</v>
      </c>
      <c r="C1" t="s">
        <v>1227</v>
      </c>
      <c r="D1" t="s">
        <v>1228</v>
      </c>
      <c r="E1" t="s">
        <v>1229</v>
      </c>
    </row>
    <row r="2" spans="1:5" ht="14">
      <c r="A2">
        <v>4</v>
      </c>
      <c r="B2" t="s">
        <v>13</v>
      </c>
      <c r="C2" t="s">
        <v>14</v>
      </c>
      <c r="D2" t="s">
        <v>14</v>
      </c>
      <c r="E2" t="s">
        <v>921</v>
      </c>
    </row>
    <row r="3" spans="1:5" ht="14">
      <c r="A3">
        <v>34</v>
      </c>
      <c r="B3" t="s">
        <v>16</v>
      </c>
      <c r="C3" t="s">
        <v>17</v>
      </c>
      <c r="D3" t="s">
        <v>17</v>
      </c>
      <c r="E3" t="s">
        <v>921</v>
      </c>
    </row>
    <row r="4" spans="1:5" ht="14">
      <c r="A4">
        <v>64</v>
      </c>
      <c r="B4" t="s">
        <v>19</v>
      </c>
      <c r="C4" t="s">
        <v>1230</v>
      </c>
      <c r="D4" t="s">
        <v>20</v>
      </c>
      <c r="E4" t="s">
        <v>1231</v>
      </c>
    </row>
    <row r="5" spans="1:5" ht="14">
      <c r="A5">
        <v>94</v>
      </c>
      <c r="B5" t="s">
        <v>22</v>
      </c>
      <c r="C5" t="s">
        <v>23</v>
      </c>
      <c r="D5" t="s">
        <v>23</v>
      </c>
      <c r="E5" t="s">
        <v>921</v>
      </c>
    </row>
    <row r="6" spans="1:5" ht="14">
      <c r="A6">
        <v>124</v>
      </c>
      <c r="B6" t="s">
        <v>25</v>
      </c>
      <c r="C6" t="s">
        <v>26</v>
      </c>
      <c r="D6" t="s">
        <v>26</v>
      </c>
      <c r="E6" t="s">
        <v>921</v>
      </c>
    </row>
    <row r="7" spans="1:5" ht="14">
      <c r="A7">
        <v>154</v>
      </c>
      <c r="B7" t="s">
        <v>28</v>
      </c>
      <c r="C7" t="s">
        <v>29</v>
      </c>
      <c r="D7" t="s">
        <v>29</v>
      </c>
      <c r="E7" t="s">
        <v>921</v>
      </c>
    </row>
    <row r="8" spans="1:5" ht="14">
      <c r="A8">
        <v>184</v>
      </c>
      <c r="B8" t="s">
        <v>32</v>
      </c>
      <c r="C8" t="s">
        <v>33</v>
      </c>
      <c r="D8" t="s">
        <v>33</v>
      </c>
      <c r="E8" t="s">
        <v>921</v>
      </c>
    </row>
    <row r="9" spans="1:5" ht="14">
      <c r="A9">
        <v>214</v>
      </c>
      <c r="B9" t="s">
        <v>35</v>
      </c>
      <c r="C9" t="s">
        <v>36</v>
      </c>
      <c r="D9" t="s">
        <v>36</v>
      </c>
      <c r="E9" t="s">
        <v>921</v>
      </c>
    </row>
    <row r="10" spans="1:5" ht="14">
      <c r="A10">
        <v>244</v>
      </c>
      <c r="B10" t="s">
        <v>38</v>
      </c>
      <c r="C10" t="s">
        <v>39</v>
      </c>
      <c r="D10" t="s">
        <v>39</v>
      </c>
      <c r="E10" t="s">
        <v>921</v>
      </c>
    </row>
    <row r="11" spans="1:5" ht="14">
      <c r="A11">
        <v>274</v>
      </c>
      <c r="B11" t="s">
        <v>41</v>
      </c>
      <c r="C11" t="s">
        <v>42</v>
      </c>
      <c r="D11" t="s">
        <v>42</v>
      </c>
      <c r="E11" t="s">
        <v>921</v>
      </c>
    </row>
    <row r="12" spans="1:5" ht="14">
      <c r="A12">
        <v>9</v>
      </c>
      <c r="B12" t="s">
        <v>44</v>
      </c>
      <c r="C12" t="s">
        <v>45</v>
      </c>
      <c r="D12" t="s">
        <v>45</v>
      </c>
      <c r="E12" t="s">
        <v>921</v>
      </c>
    </row>
    <row r="13" spans="1:5" ht="14">
      <c r="A13">
        <v>39</v>
      </c>
      <c r="B13" t="s">
        <v>47</v>
      </c>
      <c r="C13" t="s">
        <v>48</v>
      </c>
      <c r="D13" t="s">
        <v>48</v>
      </c>
      <c r="E13" t="s">
        <v>921</v>
      </c>
    </row>
    <row r="14" spans="1:5" ht="14">
      <c r="A14">
        <v>99</v>
      </c>
      <c r="B14" t="s">
        <v>50</v>
      </c>
      <c r="C14" t="s">
        <v>51</v>
      </c>
      <c r="D14" t="s">
        <v>51</v>
      </c>
      <c r="E14" t="s">
        <v>921</v>
      </c>
    </row>
    <row r="15" spans="1:5" ht="14">
      <c r="A15">
        <v>159</v>
      </c>
      <c r="B15" t="s">
        <v>53</v>
      </c>
      <c r="C15" t="s">
        <v>54</v>
      </c>
      <c r="D15" t="s">
        <v>54</v>
      </c>
      <c r="E15" t="s">
        <v>921</v>
      </c>
    </row>
    <row r="16" spans="1:5" ht="14">
      <c r="A16">
        <v>249</v>
      </c>
      <c r="B16" t="s">
        <v>56</v>
      </c>
      <c r="C16" t="s">
        <v>57</v>
      </c>
      <c r="D16" t="s">
        <v>57</v>
      </c>
      <c r="E16" t="s">
        <v>921</v>
      </c>
    </row>
    <row r="17" spans="1:5" ht="14">
      <c r="A17">
        <v>279</v>
      </c>
      <c r="B17" t="s">
        <v>59</v>
      </c>
      <c r="C17" t="s">
        <v>60</v>
      </c>
      <c r="D17" t="s">
        <v>60</v>
      </c>
      <c r="E17" t="s">
        <v>921</v>
      </c>
    </row>
    <row r="18" spans="1:5" ht="14">
      <c r="A18">
        <v>69</v>
      </c>
      <c r="B18" t="s">
        <v>62</v>
      </c>
      <c r="C18" t="s">
        <v>63</v>
      </c>
      <c r="D18" t="s">
        <v>63</v>
      </c>
      <c r="E18" t="s">
        <v>921</v>
      </c>
    </row>
    <row r="19" spans="1:5" ht="14">
      <c r="A19">
        <v>129</v>
      </c>
      <c r="B19" t="s">
        <v>65</v>
      </c>
      <c r="C19" t="s">
        <v>66</v>
      </c>
      <c r="D19" t="s">
        <v>66</v>
      </c>
      <c r="E19" t="s">
        <v>921</v>
      </c>
    </row>
    <row r="20" spans="1:5" ht="14">
      <c r="A20">
        <v>189</v>
      </c>
      <c r="B20" t="s">
        <v>68</v>
      </c>
      <c r="C20" t="s">
        <v>69</v>
      </c>
      <c r="D20" t="s">
        <v>69</v>
      </c>
      <c r="E20" t="s">
        <v>921</v>
      </c>
    </row>
    <row r="21" spans="1:5" ht="14">
      <c r="A21">
        <v>219</v>
      </c>
      <c r="B21" t="s">
        <v>71</v>
      </c>
      <c r="C21" t="s">
        <v>72</v>
      </c>
      <c r="D21" t="s">
        <v>72</v>
      </c>
      <c r="E21" t="s">
        <v>921</v>
      </c>
    </row>
    <row r="22" spans="1:5" ht="14">
      <c r="A22">
        <v>104</v>
      </c>
      <c r="B22" t="s">
        <v>74</v>
      </c>
      <c r="C22" t="s">
        <v>75</v>
      </c>
      <c r="D22" t="s">
        <v>75</v>
      </c>
      <c r="E22" t="s">
        <v>921</v>
      </c>
    </row>
    <row r="23" spans="1:5" ht="14">
      <c r="A23">
        <v>74</v>
      </c>
      <c r="B23" t="s">
        <v>77</v>
      </c>
      <c r="C23" t="s">
        <v>78</v>
      </c>
      <c r="D23" t="s">
        <v>78</v>
      </c>
      <c r="E23" t="s">
        <v>921</v>
      </c>
    </row>
    <row r="24" spans="1:5" ht="14">
      <c r="A24">
        <v>14</v>
      </c>
      <c r="B24" t="s">
        <v>80</v>
      </c>
      <c r="C24" t="s">
        <v>81</v>
      </c>
      <c r="D24" t="s">
        <v>81</v>
      </c>
      <c r="E24" t="s">
        <v>921</v>
      </c>
    </row>
    <row r="25" spans="1:5" ht="14">
      <c r="A25">
        <v>44</v>
      </c>
      <c r="B25" t="s">
        <v>83</v>
      </c>
      <c r="C25" t="s">
        <v>84</v>
      </c>
      <c r="D25" t="s">
        <v>84</v>
      </c>
      <c r="E25" t="s">
        <v>921</v>
      </c>
    </row>
    <row r="26" spans="1:5" ht="14">
      <c r="A26">
        <v>134</v>
      </c>
      <c r="B26" t="s">
        <v>86</v>
      </c>
      <c r="C26" t="s">
        <v>87</v>
      </c>
      <c r="D26" t="s">
        <v>87</v>
      </c>
      <c r="E26" t="s">
        <v>921</v>
      </c>
    </row>
    <row r="27" spans="1:5" ht="14">
      <c r="A27">
        <v>194</v>
      </c>
      <c r="B27" t="s">
        <v>89</v>
      </c>
      <c r="C27" t="s">
        <v>90</v>
      </c>
      <c r="D27" t="s">
        <v>90</v>
      </c>
      <c r="E27" t="s">
        <v>921</v>
      </c>
    </row>
    <row r="28" spans="1:5" ht="14">
      <c r="A28">
        <v>284</v>
      </c>
      <c r="B28" t="s">
        <v>92</v>
      </c>
      <c r="C28" t="s">
        <v>93</v>
      </c>
      <c r="D28" t="s">
        <v>93</v>
      </c>
      <c r="E28" t="s">
        <v>921</v>
      </c>
    </row>
    <row r="29" spans="1:5" ht="14">
      <c r="A29">
        <v>164</v>
      </c>
      <c r="B29" t="s">
        <v>95</v>
      </c>
      <c r="C29" t="s">
        <v>96</v>
      </c>
      <c r="D29" t="s">
        <v>96</v>
      </c>
      <c r="E29" t="s">
        <v>921</v>
      </c>
    </row>
    <row r="30" spans="1:5" ht="14">
      <c r="A30">
        <v>224</v>
      </c>
      <c r="B30" t="s">
        <v>98</v>
      </c>
      <c r="C30" t="s">
        <v>99</v>
      </c>
      <c r="D30" t="s">
        <v>99</v>
      </c>
      <c r="E30" t="s">
        <v>921</v>
      </c>
    </row>
    <row r="31" spans="1:5" ht="14">
      <c r="A31">
        <v>254</v>
      </c>
      <c r="B31" t="s">
        <v>101</v>
      </c>
      <c r="C31" t="s">
        <v>102</v>
      </c>
      <c r="D31" t="s">
        <v>102</v>
      </c>
      <c r="E31" t="s">
        <v>921</v>
      </c>
    </row>
    <row r="32" spans="1:5" ht="14">
      <c r="A32">
        <v>19</v>
      </c>
      <c r="B32" t="s">
        <v>104</v>
      </c>
      <c r="C32" t="s">
        <v>105</v>
      </c>
      <c r="D32" t="s">
        <v>105</v>
      </c>
      <c r="E32" t="s">
        <v>921</v>
      </c>
    </row>
    <row r="33" spans="1:5" ht="14">
      <c r="A33">
        <v>49</v>
      </c>
      <c r="B33" t="s">
        <v>107</v>
      </c>
      <c r="C33" t="s">
        <v>1232</v>
      </c>
      <c r="D33" t="s">
        <v>108</v>
      </c>
      <c r="E33" t="s">
        <v>1231</v>
      </c>
    </row>
    <row r="34" spans="1:5" ht="14">
      <c r="A34">
        <v>79</v>
      </c>
      <c r="B34" t="s">
        <v>110</v>
      </c>
      <c r="C34" t="s">
        <v>111</v>
      </c>
      <c r="D34" t="s">
        <v>111</v>
      </c>
      <c r="E34" t="s">
        <v>921</v>
      </c>
    </row>
    <row r="35" spans="1:5" ht="14">
      <c r="A35">
        <v>169</v>
      </c>
      <c r="B35" t="s">
        <v>113</v>
      </c>
      <c r="C35" t="s">
        <v>114</v>
      </c>
      <c r="D35" t="s">
        <v>114</v>
      </c>
      <c r="E35" t="s">
        <v>921</v>
      </c>
    </row>
    <row r="36" spans="1:5" ht="14">
      <c r="A36">
        <v>199</v>
      </c>
      <c r="B36" t="s">
        <v>116</v>
      </c>
      <c r="C36" t="s">
        <v>117</v>
      </c>
      <c r="D36" t="s">
        <v>117</v>
      </c>
      <c r="E36" t="s">
        <v>921</v>
      </c>
    </row>
    <row r="37" spans="1:5" ht="14">
      <c r="A37">
        <v>229</v>
      </c>
      <c r="B37" t="s">
        <v>119</v>
      </c>
      <c r="C37" t="s">
        <v>120</v>
      </c>
      <c r="D37" t="s">
        <v>120</v>
      </c>
      <c r="E37" t="s">
        <v>921</v>
      </c>
    </row>
    <row r="38" spans="1:5" ht="14">
      <c r="A38">
        <v>259</v>
      </c>
      <c r="B38" t="s">
        <v>122</v>
      </c>
      <c r="C38" t="s">
        <v>123</v>
      </c>
      <c r="D38" t="s">
        <v>123</v>
      </c>
      <c r="E38" t="s">
        <v>921</v>
      </c>
    </row>
    <row r="39" spans="1:5" ht="14">
      <c r="A39">
        <v>109</v>
      </c>
      <c r="B39" t="s">
        <v>125</v>
      </c>
      <c r="C39" t="s">
        <v>126</v>
      </c>
      <c r="D39" t="s">
        <v>126</v>
      </c>
      <c r="E39" t="s">
        <v>921</v>
      </c>
    </row>
    <row r="40" spans="1:5" ht="14">
      <c r="A40">
        <v>139</v>
      </c>
      <c r="B40" t="s">
        <v>128</v>
      </c>
      <c r="C40" t="s">
        <v>129</v>
      </c>
      <c r="D40" t="s">
        <v>129</v>
      </c>
      <c r="E40" t="s">
        <v>921</v>
      </c>
    </row>
    <row r="41" spans="1:5" ht="14">
      <c r="A41">
        <v>289</v>
      </c>
      <c r="B41" t="s">
        <v>131</v>
      </c>
      <c r="C41" t="s">
        <v>132</v>
      </c>
      <c r="D41" t="s">
        <v>132</v>
      </c>
      <c r="E41" t="s">
        <v>921</v>
      </c>
    </row>
    <row r="42" spans="1:5" ht="14">
      <c r="A42">
        <v>24</v>
      </c>
      <c r="B42" t="s">
        <v>134</v>
      </c>
      <c r="C42" t="s">
        <v>135</v>
      </c>
      <c r="D42" t="s">
        <v>135</v>
      </c>
      <c r="E42" t="s">
        <v>921</v>
      </c>
    </row>
    <row r="43" spans="1:5" ht="14">
      <c r="A43">
        <v>54</v>
      </c>
      <c r="B43" t="s">
        <v>137</v>
      </c>
      <c r="C43" t="s">
        <v>1233</v>
      </c>
      <c r="D43" t="s">
        <v>138</v>
      </c>
      <c r="E43" t="s">
        <v>1231</v>
      </c>
    </row>
    <row r="44" spans="1:5" ht="14">
      <c r="A44">
        <v>84</v>
      </c>
      <c r="B44" t="s">
        <v>140</v>
      </c>
      <c r="C44" t="s">
        <v>141</v>
      </c>
      <c r="D44" t="s">
        <v>141</v>
      </c>
      <c r="E44" t="s">
        <v>921</v>
      </c>
    </row>
    <row r="45" spans="1:5" ht="14">
      <c r="A45">
        <v>114</v>
      </c>
      <c r="B45" t="s">
        <v>143</v>
      </c>
      <c r="C45" t="s">
        <v>144</v>
      </c>
      <c r="D45" t="s">
        <v>144</v>
      </c>
      <c r="E45" t="s">
        <v>921</v>
      </c>
    </row>
    <row r="46" spans="1:5" ht="14">
      <c r="A46">
        <v>144</v>
      </c>
      <c r="B46" t="s">
        <v>146</v>
      </c>
      <c r="C46" t="s">
        <v>147</v>
      </c>
      <c r="D46" t="s">
        <v>147</v>
      </c>
      <c r="E46" t="s">
        <v>921</v>
      </c>
    </row>
    <row r="47" spans="1:5" ht="14">
      <c r="A47">
        <v>174</v>
      </c>
      <c r="B47" t="s">
        <v>149</v>
      </c>
      <c r="C47" t="s">
        <v>150</v>
      </c>
      <c r="D47" t="s">
        <v>150</v>
      </c>
      <c r="E47" t="s">
        <v>921</v>
      </c>
    </row>
    <row r="48" spans="1:5" ht="14">
      <c r="A48">
        <v>204</v>
      </c>
      <c r="B48" t="s">
        <v>152</v>
      </c>
      <c r="C48" t="s">
        <v>153</v>
      </c>
      <c r="D48" t="s">
        <v>153</v>
      </c>
      <c r="E48" t="s">
        <v>921</v>
      </c>
    </row>
    <row r="49" spans="1:5" ht="14">
      <c r="A49">
        <v>264</v>
      </c>
      <c r="B49" t="s">
        <v>155</v>
      </c>
      <c r="C49" t="s">
        <v>156</v>
      </c>
      <c r="D49" t="s">
        <v>156</v>
      </c>
      <c r="E49" t="s">
        <v>921</v>
      </c>
    </row>
    <row r="50" spans="1:5" ht="14">
      <c r="A50">
        <v>234</v>
      </c>
      <c r="B50" t="s">
        <v>158</v>
      </c>
      <c r="C50" t="s">
        <v>159</v>
      </c>
      <c r="D50" t="s">
        <v>159</v>
      </c>
      <c r="E50" t="s">
        <v>921</v>
      </c>
    </row>
    <row r="51" spans="1:5" ht="14">
      <c r="A51">
        <v>294</v>
      </c>
      <c r="B51" t="s">
        <v>161</v>
      </c>
      <c r="C51" t="s">
        <v>162</v>
      </c>
      <c r="D51" t="s">
        <v>162</v>
      </c>
      <c r="E51" t="s">
        <v>921</v>
      </c>
    </row>
    <row r="52" spans="1:5" ht="14">
      <c r="A52">
        <v>29</v>
      </c>
      <c r="B52" t="s">
        <v>164</v>
      </c>
      <c r="C52" t="s">
        <v>165</v>
      </c>
      <c r="D52" t="s">
        <v>165</v>
      </c>
      <c r="E52" t="s">
        <v>921</v>
      </c>
    </row>
    <row r="53" spans="1:5" ht="14">
      <c r="A53">
        <v>59</v>
      </c>
      <c r="B53" t="s">
        <v>167</v>
      </c>
      <c r="C53" t="s">
        <v>168</v>
      </c>
      <c r="D53" t="s">
        <v>168</v>
      </c>
      <c r="E53" t="s">
        <v>921</v>
      </c>
    </row>
    <row r="54" spans="1:5" ht="14">
      <c r="A54">
        <v>89</v>
      </c>
      <c r="B54" t="s">
        <v>170</v>
      </c>
      <c r="C54" t="s">
        <v>1234</v>
      </c>
      <c r="D54" t="s">
        <v>171</v>
      </c>
      <c r="E54" t="s">
        <v>1231</v>
      </c>
    </row>
    <row r="55" spans="1:5" ht="14">
      <c r="A55">
        <v>119</v>
      </c>
      <c r="B55" t="s">
        <v>173</v>
      </c>
      <c r="C55" t="s">
        <v>174</v>
      </c>
      <c r="D55" t="s">
        <v>174</v>
      </c>
      <c r="E55" t="s">
        <v>921</v>
      </c>
    </row>
    <row r="56" spans="1:5" ht="14">
      <c r="A56">
        <v>149</v>
      </c>
      <c r="B56" t="s">
        <v>176</v>
      </c>
      <c r="C56" t="s">
        <v>177</v>
      </c>
      <c r="D56" t="s">
        <v>177</v>
      </c>
      <c r="E56" t="s">
        <v>921</v>
      </c>
    </row>
    <row r="57" spans="1:5" ht="14">
      <c r="A57">
        <v>239</v>
      </c>
      <c r="B57" t="s">
        <v>179</v>
      </c>
      <c r="C57" t="s">
        <v>180</v>
      </c>
      <c r="D57" t="s">
        <v>180</v>
      </c>
      <c r="E57" t="s">
        <v>921</v>
      </c>
    </row>
    <row r="58" spans="1:5" ht="14">
      <c r="A58">
        <v>179</v>
      </c>
      <c r="B58" t="s">
        <v>182</v>
      </c>
      <c r="C58" t="s">
        <v>183</v>
      </c>
      <c r="D58" t="s">
        <v>183</v>
      </c>
      <c r="E58" t="s">
        <v>921</v>
      </c>
    </row>
    <row r="59" spans="1:5" ht="14">
      <c r="A59">
        <v>209</v>
      </c>
      <c r="B59" t="s">
        <v>185</v>
      </c>
      <c r="C59" t="s">
        <v>186</v>
      </c>
      <c r="D59" t="s">
        <v>186</v>
      </c>
      <c r="E59" t="s">
        <v>921</v>
      </c>
    </row>
    <row r="60" spans="1:5" ht="14">
      <c r="A60">
        <v>269</v>
      </c>
      <c r="B60" t="s">
        <v>188</v>
      </c>
      <c r="C60" t="s">
        <v>189</v>
      </c>
      <c r="D60" t="s">
        <v>189</v>
      </c>
      <c r="E60" t="s">
        <v>921</v>
      </c>
    </row>
    <row r="61" spans="1:5" ht="14">
      <c r="A61">
        <v>299</v>
      </c>
      <c r="B61" t="s">
        <v>191</v>
      </c>
      <c r="C61" t="s">
        <v>192</v>
      </c>
      <c r="D61" t="s">
        <v>192</v>
      </c>
      <c r="E61" t="s">
        <v>921</v>
      </c>
    </row>
    <row r="62" spans="1:5" ht="14">
      <c r="A62">
        <v>5</v>
      </c>
      <c r="B62" t="s">
        <v>194</v>
      </c>
      <c r="C62" t="s">
        <v>195</v>
      </c>
      <c r="D62" t="s">
        <v>195</v>
      </c>
      <c r="E62" t="s">
        <v>921</v>
      </c>
    </row>
    <row r="63" spans="1:5" ht="14">
      <c r="A63">
        <v>35</v>
      </c>
      <c r="B63" t="s">
        <v>197</v>
      </c>
      <c r="C63" t="s">
        <v>198</v>
      </c>
      <c r="D63" t="s">
        <v>198</v>
      </c>
      <c r="E63" t="s">
        <v>921</v>
      </c>
    </row>
    <row r="64" spans="1:5" ht="14">
      <c r="A64">
        <v>65</v>
      </c>
      <c r="B64" t="s">
        <v>200</v>
      </c>
      <c r="C64" t="s">
        <v>201</v>
      </c>
      <c r="D64" t="s">
        <v>201</v>
      </c>
      <c r="E64" t="s">
        <v>921</v>
      </c>
    </row>
    <row r="65" spans="1:5" ht="14">
      <c r="A65">
        <v>155</v>
      </c>
      <c r="B65" t="s">
        <v>203</v>
      </c>
      <c r="C65" t="s">
        <v>204</v>
      </c>
      <c r="D65" t="s">
        <v>204</v>
      </c>
      <c r="E65" t="s">
        <v>921</v>
      </c>
    </row>
    <row r="66" spans="1:5" ht="14">
      <c r="A66">
        <v>95</v>
      </c>
      <c r="B66" t="s">
        <v>206</v>
      </c>
      <c r="C66" t="s">
        <v>207</v>
      </c>
      <c r="D66" t="s">
        <v>207</v>
      </c>
      <c r="E66" t="s">
        <v>921</v>
      </c>
    </row>
    <row r="67" spans="1:5" ht="14">
      <c r="A67">
        <v>125</v>
      </c>
      <c r="B67" t="s">
        <v>209</v>
      </c>
      <c r="C67" t="s">
        <v>210</v>
      </c>
      <c r="D67" t="s">
        <v>210</v>
      </c>
      <c r="E67" t="s">
        <v>921</v>
      </c>
    </row>
    <row r="68" spans="1:5" ht="14">
      <c r="A68">
        <v>185</v>
      </c>
      <c r="B68" t="s">
        <v>212</v>
      </c>
      <c r="C68" t="s">
        <v>213</v>
      </c>
      <c r="D68" t="s">
        <v>213</v>
      </c>
      <c r="E68" t="s">
        <v>921</v>
      </c>
    </row>
    <row r="69" spans="1:5" ht="14">
      <c r="A69">
        <v>215</v>
      </c>
      <c r="B69" t="s">
        <v>215</v>
      </c>
      <c r="C69" t="s">
        <v>1235</v>
      </c>
      <c r="D69" t="s">
        <v>216</v>
      </c>
      <c r="E69" t="s">
        <v>1231</v>
      </c>
    </row>
    <row r="70" spans="1:5" ht="14">
      <c r="A70">
        <v>245</v>
      </c>
      <c r="B70" t="s">
        <v>218</v>
      </c>
      <c r="C70" t="s">
        <v>219</v>
      </c>
      <c r="D70" t="s">
        <v>219</v>
      </c>
      <c r="E70" t="s">
        <v>921</v>
      </c>
    </row>
    <row r="71" spans="1:5" ht="14">
      <c r="A71">
        <v>275</v>
      </c>
      <c r="B71" t="s">
        <v>221</v>
      </c>
      <c r="C71" t="s">
        <v>1236</v>
      </c>
      <c r="D71" t="s">
        <v>222</v>
      </c>
      <c r="E71" t="s">
        <v>1231</v>
      </c>
    </row>
    <row r="72" spans="1:5" ht="14">
      <c r="A72">
        <v>40</v>
      </c>
      <c r="B72" t="s">
        <v>224</v>
      </c>
      <c r="C72" t="s">
        <v>225</v>
      </c>
      <c r="D72" t="s">
        <v>225</v>
      </c>
      <c r="E72" t="s">
        <v>921</v>
      </c>
    </row>
    <row r="73" spans="1:5" ht="14">
      <c r="A73">
        <v>10</v>
      </c>
      <c r="B73" t="s">
        <v>227</v>
      </c>
      <c r="C73" t="s">
        <v>228</v>
      </c>
      <c r="D73" t="s">
        <v>228</v>
      </c>
      <c r="E73" t="s">
        <v>921</v>
      </c>
    </row>
    <row r="74" spans="1:5" ht="14">
      <c r="A74">
        <v>70</v>
      </c>
      <c r="B74" t="s">
        <v>230</v>
      </c>
      <c r="C74" t="s">
        <v>231</v>
      </c>
      <c r="D74" t="s">
        <v>231</v>
      </c>
      <c r="E74" t="s">
        <v>921</v>
      </c>
    </row>
    <row r="75" spans="1:5" ht="14">
      <c r="A75">
        <v>100</v>
      </c>
      <c r="B75" t="s">
        <v>233</v>
      </c>
      <c r="C75" t="s">
        <v>234</v>
      </c>
      <c r="D75" t="s">
        <v>234</v>
      </c>
      <c r="E75" t="s">
        <v>921</v>
      </c>
    </row>
    <row r="76" spans="1:5" ht="14">
      <c r="A76">
        <v>130</v>
      </c>
      <c r="B76" t="s">
        <v>236</v>
      </c>
      <c r="C76" t="s">
        <v>237</v>
      </c>
      <c r="D76" t="s">
        <v>237</v>
      </c>
      <c r="E76" t="s">
        <v>921</v>
      </c>
    </row>
    <row r="77" spans="1:5" ht="14">
      <c r="A77">
        <v>160</v>
      </c>
      <c r="B77" t="s">
        <v>239</v>
      </c>
      <c r="C77" t="s">
        <v>240</v>
      </c>
      <c r="D77" t="s">
        <v>240</v>
      </c>
      <c r="E77" t="s">
        <v>921</v>
      </c>
    </row>
    <row r="78" spans="1:5" ht="14">
      <c r="A78">
        <v>190</v>
      </c>
      <c r="B78" t="s">
        <v>242</v>
      </c>
      <c r="C78" t="s">
        <v>243</v>
      </c>
      <c r="D78" t="s">
        <v>243</v>
      </c>
      <c r="E78" t="s">
        <v>921</v>
      </c>
    </row>
    <row r="79" spans="1:5" ht="14">
      <c r="A79">
        <v>220</v>
      </c>
      <c r="B79" t="s">
        <v>245</v>
      </c>
      <c r="C79" t="s">
        <v>246</v>
      </c>
      <c r="D79" t="s">
        <v>246</v>
      </c>
      <c r="E79" t="s">
        <v>921</v>
      </c>
    </row>
    <row r="80" spans="1:5" ht="28">
      <c r="A80">
        <v>250</v>
      </c>
      <c r="B80" t="s">
        <v>248</v>
      </c>
      <c r="C80" t="s">
        <v>1237</v>
      </c>
      <c r="D80" t="s">
        <v>249</v>
      </c>
      <c r="E80" t="s">
        <v>1231</v>
      </c>
    </row>
    <row r="81" spans="1:5" ht="14">
      <c r="A81">
        <v>280</v>
      </c>
      <c r="B81" t="s">
        <v>251</v>
      </c>
      <c r="C81" t="s">
        <v>252</v>
      </c>
      <c r="D81" t="s">
        <v>252</v>
      </c>
      <c r="E81" t="s">
        <v>921</v>
      </c>
    </row>
    <row r="82" spans="1:5" ht="14">
      <c r="A82">
        <v>45</v>
      </c>
      <c r="B82" t="s">
        <v>254</v>
      </c>
      <c r="C82" t="s">
        <v>255</v>
      </c>
      <c r="D82" t="s">
        <v>255</v>
      </c>
      <c r="E82" t="s">
        <v>921</v>
      </c>
    </row>
    <row r="83" spans="1:5" ht="14">
      <c r="A83">
        <v>105</v>
      </c>
      <c r="B83" t="s">
        <v>257</v>
      </c>
      <c r="C83" t="s">
        <v>258</v>
      </c>
      <c r="D83" t="s">
        <v>258</v>
      </c>
      <c r="E83" t="s">
        <v>921</v>
      </c>
    </row>
    <row r="84" spans="1:5" ht="14">
      <c r="A84">
        <v>15</v>
      </c>
      <c r="B84" t="s">
        <v>260</v>
      </c>
      <c r="C84" t="s">
        <v>261</v>
      </c>
      <c r="D84" t="s">
        <v>261</v>
      </c>
      <c r="E84" t="s">
        <v>921</v>
      </c>
    </row>
    <row r="85" spans="1:5" ht="14">
      <c r="A85">
        <v>75</v>
      </c>
      <c r="B85" t="s">
        <v>263</v>
      </c>
      <c r="C85" t="s">
        <v>264</v>
      </c>
      <c r="D85" t="s">
        <v>264</v>
      </c>
      <c r="E85" t="s">
        <v>921</v>
      </c>
    </row>
    <row r="86" spans="1:5" ht="14">
      <c r="A86">
        <v>135</v>
      </c>
      <c r="B86" t="s">
        <v>266</v>
      </c>
      <c r="C86" t="s">
        <v>267</v>
      </c>
      <c r="D86" t="s">
        <v>267</v>
      </c>
      <c r="E86" t="s">
        <v>921</v>
      </c>
    </row>
    <row r="87" spans="1:5" ht="14">
      <c r="A87">
        <v>165</v>
      </c>
      <c r="B87" t="s">
        <v>269</v>
      </c>
      <c r="C87" t="s">
        <v>270</v>
      </c>
      <c r="D87" t="s">
        <v>270</v>
      </c>
      <c r="E87" t="s">
        <v>921</v>
      </c>
    </row>
    <row r="88" spans="1:5" ht="14">
      <c r="A88">
        <v>195</v>
      </c>
      <c r="B88" t="s">
        <v>272</v>
      </c>
      <c r="C88" t="s">
        <v>273</v>
      </c>
      <c r="D88" t="s">
        <v>273</v>
      </c>
      <c r="E88" t="s">
        <v>921</v>
      </c>
    </row>
    <row r="89" spans="1:5" ht="14">
      <c r="A89">
        <v>225</v>
      </c>
      <c r="B89" t="s">
        <v>275</v>
      </c>
      <c r="C89" t="s">
        <v>276</v>
      </c>
      <c r="D89" t="s">
        <v>276</v>
      </c>
      <c r="E89" t="s">
        <v>921</v>
      </c>
    </row>
    <row r="90" spans="1:5" ht="14">
      <c r="A90">
        <v>255</v>
      </c>
      <c r="B90" t="s">
        <v>278</v>
      </c>
      <c r="C90" t="s">
        <v>279</v>
      </c>
      <c r="D90" t="s">
        <v>279</v>
      </c>
      <c r="E90" t="s">
        <v>921</v>
      </c>
    </row>
    <row r="91" spans="1:5" ht="14">
      <c r="A91">
        <v>285</v>
      </c>
      <c r="B91" t="s">
        <v>281</v>
      </c>
      <c r="C91" t="s">
        <v>282</v>
      </c>
      <c r="D91" t="s">
        <v>282</v>
      </c>
      <c r="E91" t="s">
        <v>921</v>
      </c>
    </row>
    <row r="92" spans="1:5" ht="14">
      <c r="A92">
        <v>140</v>
      </c>
      <c r="B92" t="s">
        <v>284</v>
      </c>
      <c r="C92" t="s">
        <v>1238</v>
      </c>
      <c r="D92" t="s">
        <v>285</v>
      </c>
      <c r="E92" t="s">
        <v>1231</v>
      </c>
    </row>
    <row r="93" spans="1:5" ht="14">
      <c r="A93">
        <v>50</v>
      </c>
      <c r="B93" t="s">
        <v>287</v>
      </c>
      <c r="C93" t="s">
        <v>288</v>
      </c>
      <c r="D93" t="s">
        <v>288</v>
      </c>
      <c r="E93" t="s">
        <v>921</v>
      </c>
    </row>
    <row r="94" spans="1:5" ht="14">
      <c r="A94">
        <v>20</v>
      </c>
      <c r="B94" t="s">
        <v>290</v>
      </c>
      <c r="C94" t="s">
        <v>291</v>
      </c>
      <c r="D94" t="s">
        <v>291</v>
      </c>
      <c r="E94" t="s">
        <v>921</v>
      </c>
    </row>
    <row r="95" spans="1:5" ht="14">
      <c r="A95">
        <v>80</v>
      </c>
      <c r="B95" t="s">
        <v>293</v>
      </c>
      <c r="C95" t="s">
        <v>294</v>
      </c>
      <c r="D95" t="s">
        <v>294</v>
      </c>
      <c r="E95" t="s">
        <v>921</v>
      </c>
    </row>
    <row r="96" spans="1:5" ht="14">
      <c r="A96">
        <v>110</v>
      </c>
      <c r="B96" t="s">
        <v>296</v>
      </c>
      <c r="C96" t="s">
        <v>297</v>
      </c>
      <c r="D96" t="s">
        <v>297</v>
      </c>
      <c r="E96" t="s">
        <v>921</v>
      </c>
    </row>
    <row r="97" spans="1:5" ht="14">
      <c r="A97">
        <v>170</v>
      </c>
      <c r="B97" t="s">
        <v>299</v>
      </c>
      <c r="C97" t="s">
        <v>300</v>
      </c>
      <c r="D97" t="s">
        <v>300</v>
      </c>
      <c r="E97" t="s">
        <v>921</v>
      </c>
    </row>
    <row r="98" spans="1:5" ht="14">
      <c r="A98">
        <v>200</v>
      </c>
      <c r="B98" t="s">
        <v>302</v>
      </c>
      <c r="C98" t="s">
        <v>303</v>
      </c>
      <c r="D98" t="s">
        <v>303</v>
      </c>
      <c r="E98" t="s">
        <v>921</v>
      </c>
    </row>
    <row r="99" spans="1:5" ht="14">
      <c r="A99">
        <v>290</v>
      </c>
      <c r="B99" t="s">
        <v>305</v>
      </c>
      <c r="C99" t="s">
        <v>306</v>
      </c>
      <c r="D99" t="s">
        <v>306</v>
      </c>
      <c r="E99" t="s">
        <v>921</v>
      </c>
    </row>
    <row r="100" spans="1:5" ht="14">
      <c r="A100">
        <v>260</v>
      </c>
      <c r="B100" t="s">
        <v>308</v>
      </c>
      <c r="C100" t="s">
        <v>1239</v>
      </c>
      <c r="D100" t="s">
        <v>309</v>
      </c>
      <c r="E100" t="s">
        <v>1231</v>
      </c>
    </row>
    <row r="101" spans="1:5" ht="14">
      <c r="A101">
        <v>230</v>
      </c>
      <c r="B101" t="s">
        <v>311</v>
      </c>
      <c r="C101" t="s">
        <v>312</v>
      </c>
      <c r="D101" t="s">
        <v>312</v>
      </c>
      <c r="E101" t="s">
        <v>921</v>
      </c>
    </row>
    <row r="102" spans="1:5" ht="14">
      <c r="A102">
        <v>55</v>
      </c>
      <c r="B102" t="s">
        <v>314</v>
      </c>
      <c r="C102" t="s">
        <v>315</v>
      </c>
      <c r="D102" t="s">
        <v>315</v>
      </c>
      <c r="E102" t="s">
        <v>921</v>
      </c>
    </row>
    <row r="103" spans="1:5" ht="14">
      <c r="A103">
        <v>145</v>
      </c>
      <c r="B103" t="s">
        <v>317</v>
      </c>
      <c r="C103" t="s">
        <v>318</v>
      </c>
      <c r="D103" t="s">
        <v>318</v>
      </c>
      <c r="E103" t="s">
        <v>921</v>
      </c>
    </row>
    <row r="104" spans="1:5" ht="14">
      <c r="A104">
        <v>25</v>
      </c>
      <c r="B104" t="s">
        <v>320</v>
      </c>
      <c r="C104" t="s">
        <v>1240</v>
      </c>
      <c r="D104" t="s">
        <v>321</v>
      </c>
      <c r="E104" t="s">
        <v>1231</v>
      </c>
    </row>
    <row r="105" spans="1:5" ht="14">
      <c r="A105">
        <v>85</v>
      </c>
      <c r="B105" t="s">
        <v>323</v>
      </c>
      <c r="C105" t="s">
        <v>324</v>
      </c>
      <c r="D105" t="s">
        <v>324</v>
      </c>
      <c r="E105" t="s">
        <v>921</v>
      </c>
    </row>
    <row r="106" spans="1:5" ht="14">
      <c r="A106">
        <v>115</v>
      </c>
      <c r="B106" t="s">
        <v>326</v>
      </c>
      <c r="C106" t="s">
        <v>327</v>
      </c>
      <c r="D106" t="s">
        <v>327</v>
      </c>
      <c r="E106" t="s">
        <v>921</v>
      </c>
    </row>
    <row r="107" spans="1:5" ht="14">
      <c r="A107">
        <v>205</v>
      </c>
      <c r="B107" t="s">
        <v>329</v>
      </c>
      <c r="C107" t="s">
        <v>330</v>
      </c>
      <c r="D107" t="s">
        <v>330</v>
      </c>
      <c r="E107" t="s">
        <v>921</v>
      </c>
    </row>
    <row r="108" spans="1:5" ht="14">
      <c r="A108">
        <v>265</v>
      </c>
      <c r="B108" t="s">
        <v>332</v>
      </c>
      <c r="C108" t="s">
        <v>333</v>
      </c>
      <c r="D108" t="s">
        <v>333</v>
      </c>
      <c r="E108" t="s">
        <v>921</v>
      </c>
    </row>
    <row r="109" spans="1:5" ht="14">
      <c r="A109">
        <v>175</v>
      </c>
      <c r="B109" t="s">
        <v>335</v>
      </c>
      <c r="C109" t="s">
        <v>336</v>
      </c>
      <c r="D109" t="s">
        <v>336</v>
      </c>
      <c r="E109" t="s">
        <v>921</v>
      </c>
    </row>
    <row r="110" spans="1:5" ht="14">
      <c r="A110">
        <v>235</v>
      </c>
      <c r="B110" t="s">
        <v>338</v>
      </c>
      <c r="C110" t="s">
        <v>339</v>
      </c>
      <c r="D110" t="s">
        <v>339</v>
      </c>
      <c r="E110" t="s">
        <v>921</v>
      </c>
    </row>
    <row r="111" spans="1:5" ht="14">
      <c r="A111">
        <v>295</v>
      </c>
      <c r="B111" t="s">
        <v>341</v>
      </c>
      <c r="C111" t="s">
        <v>1241</v>
      </c>
      <c r="D111" t="s">
        <v>342</v>
      </c>
      <c r="E111" t="s">
        <v>1231</v>
      </c>
    </row>
    <row r="112" spans="1:5" ht="14">
      <c r="A112">
        <v>30</v>
      </c>
      <c r="B112" t="s">
        <v>344</v>
      </c>
      <c r="C112" t="s">
        <v>345</v>
      </c>
      <c r="D112" t="s">
        <v>345</v>
      </c>
      <c r="E112" t="s">
        <v>921</v>
      </c>
    </row>
    <row r="113" spans="1:5" ht="14">
      <c r="A113">
        <v>60</v>
      </c>
      <c r="B113" t="s">
        <v>347</v>
      </c>
      <c r="C113" t="s">
        <v>1242</v>
      </c>
      <c r="D113" t="s">
        <v>348</v>
      </c>
      <c r="E113" t="s">
        <v>1231</v>
      </c>
    </row>
    <row r="114" spans="1:5" ht="14">
      <c r="A114">
        <v>90</v>
      </c>
      <c r="B114" t="s">
        <v>350</v>
      </c>
      <c r="C114" t="s">
        <v>351</v>
      </c>
      <c r="D114" t="s">
        <v>351</v>
      </c>
      <c r="E114" t="s">
        <v>921</v>
      </c>
    </row>
    <row r="115" spans="1:5" ht="14">
      <c r="A115">
        <v>120</v>
      </c>
      <c r="B115" t="s">
        <v>353</v>
      </c>
      <c r="C115" t="s">
        <v>1243</v>
      </c>
      <c r="D115" t="s">
        <v>354</v>
      </c>
      <c r="E115" t="s">
        <v>1231</v>
      </c>
    </row>
    <row r="116" spans="1:5" ht="14">
      <c r="A116">
        <v>150</v>
      </c>
      <c r="B116" t="s">
        <v>356</v>
      </c>
      <c r="C116" t="s">
        <v>1244</v>
      </c>
      <c r="D116" t="s">
        <v>357</v>
      </c>
      <c r="E116" t="s">
        <v>1231</v>
      </c>
    </row>
    <row r="117" spans="1:5" ht="14">
      <c r="A117">
        <v>210</v>
      </c>
      <c r="B117" t="s">
        <v>359</v>
      </c>
      <c r="C117" t="s">
        <v>360</v>
      </c>
      <c r="D117" t="s">
        <v>360</v>
      </c>
      <c r="E117" t="s">
        <v>921</v>
      </c>
    </row>
    <row r="118" spans="1:5" ht="14">
      <c r="A118">
        <v>270</v>
      </c>
      <c r="B118" t="s">
        <v>362</v>
      </c>
      <c r="C118" t="s">
        <v>1245</v>
      </c>
      <c r="D118" t="s">
        <v>363</v>
      </c>
      <c r="E118" t="s">
        <v>1231</v>
      </c>
    </row>
    <row r="119" spans="1:5" ht="14">
      <c r="A119">
        <v>180</v>
      </c>
      <c r="B119" t="s">
        <v>365</v>
      </c>
      <c r="C119" t="s">
        <v>366</v>
      </c>
      <c r="D119" t="s">
        <v>366</v>
      </c>
      <c r="E119" t="s">
        <v>921</v>
      </c>
    </row>
    <row r="120" spans="1:5" ht="14">
      <c r="A120">
        <v>240</v>
      </c>
      <c r="B120" t="s">
        <v>368</v>
      </c>
      <c r="C120" t="s">
        <v>369</v>
      </c>
      <c r="D120" t="s">
        <v>369</v>
      </c>
      <c r="E120" t="s">
        <v>921</v>
      </c>
    </row>
    <row r="121" spans="1:5" ht="14">
      <c r="A121">
        <v>300</v>
      </c>
      <c r="B121" t="s">
        <v>371</v>
      </c>
      <c r="C121" t="s">
        <v>372</v>
      </c>
      <c r="D121" t="s">
        <v>372</v>
      </c>
      <c r="E121" t="s">
        <v>921</v>
      </c>
    </row>
    <row r="122" spans="1:5" ht="14">
      <c r="A122">
        <v>2</v>
      </c>
      <c r="B122" t="s">
        <v>374</v>
      </c>
      <c r="C122" t="s">
        <v>375</v>
      </c>
      <c r="D122" t="s">
        <v>375</v>
      </c>
      <c r="E122" t="s">
        <v>921</v>
      </c>
    </row>
    <row r="123" spans="1:5" ht="14">
      <c r="A123">
        <v>62</v>
      </c>
      <c r="B123" t="s">
        <v>377</v>
      </c>
      <c r="C123" t="s">
        <v>1246</v>
      </c>
      <c r="D123" t="s">
        <v>378</v>
      </c>
      <c r="E123" t="s">
        <v>1231</v>
      </c>
    </row>
    <row r="124" spans="1:5" ht="14">
      <c r="A124">
        <v>32</v>
      </c>
      <c r="B124" t="s">
        <v>380</v>
      </c>
      <c r="C124" t="s">
        <v>381</v>
      </c>
      <c r="D124" t="s">
        <v>381</v>
      </c>
      <c r="E124" t="s">
        <v>921</v>
      </c>
    </row>
    <row r="125" spans="1:5" ht="14">
      <c r="A125">
        <v>92</v>
      </c>
      <c r="B125" t="s">
        <v>383</v>
      </c>
      <c r="C125" t="s">
        <v>384</v>
      </c>
      <c r="D125" t="s">
        <v>384</v>
      </c>
      <c r="E125" t="s">
        <v>921</v>
      </c>
    </row>
    <row r="126" spans="1:5" ht="14">
      <c r="A126">
        <v>122</v>
      </c>
      <c r="B126" t="s">
        <v>386</v>
      </c>
      <c r="C126" t="s">
        <v>387</v>
      </c>
      <c r="D126" t="s">
        <v>387</v>
      </c>
      <c r="E126" t="s">
        <v>921</v>
      </c>
    </row>
    <row r="127" spans="1:5" ht="14">
      <c r="A127">
        <v>212</v>
      </c>
      <c r="B127" t="s">
        <v>389</v>
      </c>
      <c r="C127" t="s">
        <v>390</v>
      </c>
      <c r="D127" t="s">
        <v>390</v>
      </c>
      <c r="E127" t="s">
        <v>921</v>
      </c>
    </row>
    <row r="128" spans="1:5" ht="14">
      <c r="A128">
        <v>272</v>
      </c>
      <c r="B128" t="s">
        <v>392</v>
      </c>
      <c r="C128" t="s">
        <v>393</v>
      </c>
      <c r="D128" t="s">
        <v>393</v>
      </c>
      <c r="E128" t="s">
        <v>921</v>
      </c>
    </row>
    <row r="129" spans="1:5" ht="14">
      <c r="A129">
        <v>152</v>
      </c>
      <c r="B129" t="s">
        <v>395</v>
      </c>
      <c r="C129" t="s">
        <v>396</v>
      </c>
      <c r="D129" t="s">
        <v>396</v>
      </c>
      <c r="E129" t="s">
        <v>921</v>
      </c>
    </row>
    <row r="130" spans="1:5" ht="14">
      <c r="A130">
        <v>182</v>
      </c>
      <c r="B130" t="s">
        <v>398</v>
      </c>
      <c r="C130" t="s">
        <v>1247</v>
      </c>
      <c r="D130" t="s">
        <v>399</v>
      </c>
      <c r="E130" t="s">
        <v>1231</v>
      </c>
    </row>
    <row r="131" spans="1:5" ht="14">
      <c r="A131">
        <v>242</v>
      </c>
      <c r="B131" t="s">
        <v>401</v>
      </c>
      <c r="C131" t="s">
        <v>402</v>
      </c>
      <c r="D131" t="s">
        <v>402</v>
      </c>
      <c r="E131" t="s">
        <v>921</v>
      </c>
    </row>
    <row r="132" spans="1:5" ht="14">
      <c r="A132">
        <v>7</v>
      </c>
      <c r="B132" t="s">
        <v>404</v>
      </c>
      <c r="C132" t="s">
        <v>405</v>
      </c>
      <c r="D132" t="s">
        <v>405</v>
      </c>
      <c r="E132" t="s">
        <v>921</v>
      </c>
    </row>
    <row r="133" spans="1:5" ht="14">
      <c r="A133">
        <v>37</v>
      </c>
      <c r="B133" t="s">
        <v>407</v>
      </c>
      <c r="C133" t="s">
        <v>408</v>
      </c>
      <c r="D133" t="s">
        <v>408</v>
      </c>
      <c r="E133" t="s">
        <v>921</v>
      </c>
    </row>
    <row r="134" spans="1:5" ht="14">
      <c r="A134">
        <v>67</v>
      </c>
      <c r="B134" t="s">
        <v>410</v>
      </c>
      <c r="C134" t="s">
        <v>411</v>
      </c>
      <c r="D134" t="s">
        <v>411</v>
      </c>
      <c r="E134" t="s">
        <v>921</v>
      </c>
    </row>
    <row r="135" spans="1:5" ht="14">
      <c r="A135">
        <v>97</v>
      </c>
      <c r="B135" t="s">
        <v>413</v>
      </c>
      <c r="C135" t="s">
        <v>414</v>
      </c>
      <c r="D135" t="s">
        <v>414</v>
      </c>
      <c r="E135" t="s">
        <v>921</v>
      </c>
    </row>
    <row r="136" spans="1:5" ht="14">
      <c r="A136">
        <v>127</v>
      </c>
      <c r="B136" t="s">
        <v>416</v>
      </c>
      <c r="C136" t="s">
        <v>417</v>
      </c>
      <c r="D136" t="s">
        <v>417</v>
      </c>
      <c r="E136" t="s">
        <v>921</v>
      </c>
    </row>
    <row r="137" spans="1:5" ht="14">
      <c r="A137">
        <v>157</v>
      </c>
      <c r="B137" t="s">
        <v>419</v>
      </c>
      <c r="C137" t="s">
        <v>420</v>
      </c>
      <c r="D137" t="s">
        <v>420</v>
      </c>
      <c r="E137" t="s">
        <v>921</v>
      </c>
    </row>
    <row r="138" spans="1:5" ht="14">
      <c r="A138">
        <v>247</v>
      </c>
      <c r="B138" t="s">
        <v>422</v>
      </c>
      <c r="C138" t="s">
        <v>423</v>
      </c>
      <c r="D138" t="s">
        <v>423</v>
      </c>
      <c r="E138" t="s">
        <v>921</v>
      </c>
    </row>
    <row r="139" spans="1:5" ht="14">
      <c r="A139">
        <v>187</v>
      </c>
      <c r="B139" t="s">
        <v>425</v>
      </c>
      <c r="C139" t="s">
        <v>426</v>
      </c>
      <c r="D139" t="s">
        <v>426</v>
      </c>
      <c r="E139" t="s">
        <v>921</v>
      </c>
    </row>
    <row r="140" spans="1:5" ht="14">
      <c r="A140">
        <v>217</v>
      </c>
      <c r="B140" t="s">
        <v>428</v>
      </c>
      <c r="C140" t="s">
        <v>429</v>
      </c>
      <c r="D140" t="s">
        <v>429</v>
      </c>
      <c r="E140" t="s">
        <v>921</v>
      </c>
    </row>
    <row r="141" spans="1:5" ht="14">
      <c r="A141">
        <v>277</v>
      </c>
      <c r="B141" t="s">
        <v>431</v>
      </c>
      <c r="C141" t="s">
        <v>432</v>
      </c>
      <c r="D141" t="s">
        <v>432</v>
      </c>
      <c r="E141" t="s">
        <v>921</v>
      </c>
    </row>
    <row r="142" spans="1:5" ht="14">
      <c r="A142">
        <v>12</v>
      </c>
      <c r="B142" t="s">
        <v>434</v>
      </c>
      <c r="C142" t="s">
        <v>435</v>
      </c>
      <c r="D142" t="s">
        <v>435</v>
      </c>
      <c r="E142" t="s">
        <v>921</v>
      </c>
    </row>
    <row r="143" spans="1:5" ht="14">
      <c r="A143">
        <v>42</v>
      </c>
      <c r="B143" t="s">
        <v>437</v>
      </c>
      <c r="C143" t="s">
        <v>438</v>
      </c>
      <c r="D143" t="s">
        <v>438</v>
      </c>
      <c r="E143" t="s">
        <v>921</v>
      </c>
    </row>
    <row r="144" spans="1:5" ht="14">
      <c r="A144">
        <v>132</v>
      </c>
      <c r="B144" t="s">
        <v>440</v>
      </c>
      <c r="C144" t="s">
        <v>441</v>
      </c>
      <c r="D144" t="s">
        <v>441</v>
      </c>
      <c r="E144" t="s">
        <v>921</v>
      </c>
    </row>
    <row r="145" spans="1:5" ht="14">
      <c r="A145">
        <v>72</v>
      </c>
      <c r="B145" t="s">
        <v>443</v>
      </c>
      <c r="C145" t="s">
        <v>444</v>
      </c>
      <c r="D145" t="s">
        <v>444</v>
      </c>
      <c r="E145" t="s">
        <v>921</v>
      </c>
    </row>
    <row r="146" spans="1:5" ht="14">
      <c r="A146">
        <v>102</v>
      </c>
      <c r="B146" t="s">
        <v>446</v>
      </c>
      <c r="C146" t="s">
        <v>447</v>
      </c>
      <c r="D146" t="s">
        <v>447</v>
      </c>
      <c r="E146" t="s">
        <v>921</v>
      </c>
    </row>
    <row r="147" spans="1:5" ht="14">
      <c r="A147">
        <v>162</v>
      </c>
      <c r="B147" t="s">
        <v>449</v>
      </c>
      <c r="C147" t="s">
        <v>450</v>
      </c>
      <c r="D147" t="s">
        <v>450</v>
      </c>
      <c r="E147" t="s">
        <v>921</v>
      </c>
    </row>
    <row r="148" spans="1:5" ht="14">
      <c r="A148">
        <v>192</v>
      </c>
      <c r="B148" t="s">
        <v>452</v>
      </c>
      <c r="C148" t="s">
        <v>453</v>
      </c>
      <c r="D148" t="s">
        <v>453</v>
      </c>
      <c r="E148" t="s">
        <v>921</v>
      </c>
    </row>
    <row r="149" spans="1:5" ht="14">
      <c r="A149">
        <v>222</v>
      </c>
      <c r="B149" t="s">
        <v>455</v>
      </c>
      <c r="C149" t="s">
        <v>456</v>
      </c>
      <c r="D149" t="s">
        <v>456</v>
      </c>
      <c r="E149" t="s">
        <v>921</v>
      </c>
    </row>
    <row r="150" spans="1:5" ht="14">
      <c r="A150">
        <v>252</v>
      </c>
      <c r="B150" t="s">
        <v>458</v>
      </c>
      <c r="C150" t="s">
        <v>459</v>
      </c>
      <c r="D150" t="s">
        <v>459</v>
      </c>
      <c r="E150" t="s">
        <v>921</v>
      </c>
    </row>
    <row r="151" spans="1:5" ht="14">
      <c r="A151">
        <v>282</v>
      </c>
      <c r="B151" t="s">
        <v>461</v>
      </c>
      <c r="C151" t="s">
        <v>462</v>
      </c>
      <c r="D151" t="s">
        <v>462</v>
      </c>
      <c r="E151" t="s">
        <v>921</v>
      </c>
    </row>
    <row r="152" spans="1:5" ht="14">
      <c r="A152">
        <v>17</v>
      </c>
      <c r="B152" t="s">
        <v>464</v>
      </c>
      <c r="C152" t="s">
        <v>465</v>
      </c>
      <c r="D152" t="s">
        <v>465</v>
      </c>
      <c r="E152" t="s">
        <v>921</v>
      </c>
    </row>
    <row r="153" spans="1:5" ht="14">
      <c r="A153">
        <v>47</v>
      </c>
      <c r="B153" t="s">
        <v>467</v>
      </c>
      <c r="C153" t="s">
        <v>468</v>
      </c>
      <c r="D153" t="s">
        <v>468</v>
      </c>
      <c r="E153" t="s">
        <v>921</v>
      </c>
    </row>
    <row r="154" spans="1:5" ht="14">
      <c r="A154">
        <v>77</v>
      </c>
      <c r="B154" t="s">
        <v>470</v>
      </c>
      <c r="C154" t="s">
        <v>471</v>
      </c>
      <c r="D154" t="s">
        <v>471</v>
      </c>
      <c r="E154" t="s">
        <v>921</v>
      </c>
    </row>
    <row r="155" spans="1:5" ht="14">
      <c r="A155">
        <v>107</v>
      </c>
      <c r="B155" t="s">
        <v>473</v>
      </c>
      <c r="C155" t="s">
        <v>474</v>
      </c>
      <c r="D155" t="s">
        <v>474</v>
      </c>
      <c r="E155" t="s">
        <v>921</v>
      </c>
    </row>
    <row r="156" spans="1:5" ht="14">
      <c r="A156">
        <v>137</v>
      </c>
      <c r="B156" t="s">
        <v>476</v>
      </c>
      <c r="C156" t="s">
        <v>477</v>
      </c>
      <c r="D156" t="s">
        <v>477</v>
      </c>
      <c r="E156" t="s">
        <v>921</v>
      </c>
    </row>
    <row r="157" spans="1:5" ht="14">
      <c r="A157">
        <v>167</v>
      </c>
      <c r="B157" t="s">
        <v>479</v>
      </c>
      <c r="C157" t="s">
        <v>480</v>
      </c>
      <c r="D157" t="s">
        <v>480</v>
      </c>
      <c r="E157" t="s">
        <v>921</v>
      </c>
    </row>
    <row r="158" spans="1:5" ht="14">
      <c r="A158">
        <v>197</v>
      </c>
      <c r="B158" t="s">
        <v>482</v>
      </c>
      <c r="C158" t="s">
        <v>483</v>
      </c>
      <c r="D158" t="s">
        <v>483</v>
      </c>
      <c r="E158" t="s">
        <v>921</v>
      </c>
    </row>
    <row r="159" spans="1:5" ht="14">
      <c r="A159">
        <v>227</v>
      </c>
      <c r="B159" t="s">
        <v>485</v>
      </c>
      <c r="C159" t="s">
        <v>486</v>
      </c>
      <c r="D159" t="s">
        <v>486</v>
      </c>
      <c r="E159" t="s">
        <v>921</v>
      </c>
    </row>
    <row r="160" spans="1:5" ht="14">
      <c r="A160">
        <v>257</v>
      </c>
      <c r="B160" t="s">
        <v>488</v>
      </c>
      <c r="C160" t="s">
        <v>489</v>
      </c>
      <c r="D160" t="s">
        <v>489</v>
      </c>
      <c r="E160" t="s">
        <v>921</v>
      </c>
    </row>
    <row r="161" spans="1:5" ht="14">
      <c r="A161">
        <v>287</v>
      </c>
      <c r="B161" t="s">
        <v>491</v>
      </c>
      <c r="C161" t="s">
        <v>492</v>
      </c>
      <c r="D161" t="s">
        <v>492</v>
      </c>
      <c r="E161" t="s">
        <v>921</v>
      </c>
    </row>
    <row r="162" spans="1:5" ht="14">
      <c r="A162">
        <v>22</v>
      </c>
      <c r="B162" t="s">
        <v>494</v>
      </c>
      <c r="C162" t="s">
        <v>495</v>
      </c>
      <c r="D162" t="s">
        <v>495</v>
      </c>
      <c r="E162" t="s">
        <v>921</v>
      </c>
    </row>
    <row r="163" spans="1:5" ht="14">
      <c r="A163">
        <v>52</v>
      </c>
      <c r="B163" t="s">
        <v>497</v>
      </c>
      <c r="C163" t="s">
        <v>498</v>
      </c>
      <c r="D163" t="s">
        <v>498</v>
      </c>
      <c r="E163" t="s">
        <v>921</v>
      </c>
    </row>
    <row r="164" spans="1:5" ht="14">
      <c r="A164">
        <v>112</v>
      </c>
      <c r="B164" t="s">
        <v>500</v>
      </c>
      <c r="C164" t="s">
        <v>501</v>
      </c>
      <c r="D164" t="s">
        <v>501</v>
      </c>
      <c r="E164" t="s">
        <v>921</v>
      </c>
    </row>
    <row r="165" spans="1:5" ht="14">
      <c r="A165">
        <v>172</v>
      </c>
      <c r="B165" t="s">
        <v>503</v>
      </c>
      <c r="C165" t="s">
        <v>504</v>
      </c>
      <c r="D165" t="s">
        <v>504</v>
      </c>
      <c r="E165" t="s">
        <v>921</v>
      </c>
    </row>
    <row r="166" spans="1:5" ht="14">
      <c r="A166">
        <v>82</v>
      </c>
      <c r="B166" t="s">
        <v>506</v>
      </c>
      <c r="C166" t="s">
        <v>507</v>
      </c>
      <c r="D166" t="s">
        <v>507</v>
      </c>
      <c r="E166" t="s">
        <v>921</v>
      </c>
    </row>
    <row r="167" spans="1:5" ht="14">
      <c r="A167">
        <v>142</v>
      </c>
      <c r="B167" t="s">
        <v>509</v>
      </c>
      <c r="C167" t="s">
        <v>510</v>
      </c>
      <c r="D167" t="s">
        <v>510</v>
      </c>
      <c r="E167" t="s">
        <v>921</v>
      </c>
    </row>
    <row r="168" spans="1:5" ht="14">
      <c r="A168">
        <v>202</v>
      </c>
      <c r="B168" t="s">
        <v>512</v>
      </c>
      <c r="C168" t="s">
        <v>1248</v>
      </c>
      <c r="D168" t="s">
        <v>513</v>
      </c>
      <c r="E168" t="s">
        <v>1231</v>
      </c>
    </row>
    <row r="169" spans="1:5" ht="14">
      <c r="A169">
        <v>232</v>
      </c>
      <c r="B169" t="s">
        <v>515</v>
      </c>
      <c r="C169" t="s">
        <v>516</v>
      </c>
      <c r="D169" t="s">
        <v>516</v>
      </c>
      <c r="E169" t="s">
        <v>921</v>
      </c>
    </row>
    <row r="170" spans="1:5" ht="14">
      <c r="A170">
        <v>262</v>
      </c>
      <c r="B170" t="s">
        <v>518</v>
      </c>
      <c r="C170" t="s">
        <v>519</v>
      </c>
      <c r="D170" t="s">
        <v>519</v>
      </c>
      <c r="E170" t="s">
        <v>921</v>
      </c>
    </row>
    <row r="171" spans="1:5" ht="14">
      <c r="A171">
        <v>292</v>
      </c>
      <c r="B171" t="s">
        <v>521</v>
      </c>
      <c r="C171" t="s">
        <v>522</v>
      </c>
      <c r="D171" t="s">
        <v>522</v>
      </c>
      <c r="E171" t="s">
        <v>921</v>
      </c>
    </row>
    <row r="172" spans="1:5" ht="14">
      <c r="A172">
        <v>27</v>
      </c>
      <c r="B172" t="s">
        <v>524</v>
      </c>
      <c r="C172" t="s">
        <v>525</v>
      </c>
      <c r="D172" t="s">
        <v>525</v>
      </c>
      <c r="E172" t="s">
        <v>921</v>
      </c>
    </row>
    <row r="173" spans="1:5" ht="14">
      <c r="A173">
        <v>57</v>
      </c>
      <c r="B173" t="s">
        <v>527</v>
      </c>
      <c r="C173" t="s">
        <v>528</v>
      </c>
      <c r="D173" t="s">
        <v>528</v>
      </c>
      <c r="E173" t="s">
        <v>921</v>
      </c>
    </row>
    <row r="174" spans="1:5" ht="14">
      <c r="A174">
        <v>147</v>
      </c>
      <c r="B174" t="s">
        <v>530</v>
      </c>
      <c r="C174" t="s">
        <v>531</v>
      </c>
      <c r="D174" t="s">
        <v>531</v>
      </c>
      <c r="E174" t="s">
        <v>921</v>
      </c>
    </row>
    <row r="175" spans="1:5" ht="14">
      <c r="A175">
        <v>177</v>
      </c>
      <c r="B175" t="s">
        <v>533</v>
      </c>
      <c r="C175" t="s">
        <v>534</v>
      </c>
      <c r="D175" t="s">
        <v>534</v>
      </c>
      <c r="E175" t="s">
        <v>921</v>
      </c>
    </row>
    <row r="176" spans="1:5" ht="14">
      <c r="A176">
        <v>87</v>
      </c>
      <c r="B176" t="s">
        <v>536</v>
      </c>
      <c r="C176" t="s">
        <v>537</v>
      </c>
      <c r="D176" t="s">
        <v>537</v>
      </c>
      <c r="E176" t="s">
        <v>921</v>
      </c>
    </row>
    <row r="177" spans="1:5" ht="14">
      <c r="A177">
        <v>117</v>
      </c>
      <c r="B177" t="s">
        <v>539</v>
      </c>
      <c r="C177" t="s">
        <v>540</v>
      </c>
      <c r="D177" t="s">
        <v>540</v>
      </c>
      <c r="E177" t="s">
        <v>921</v>
      </c>
    </row>
    <row r="178" spans="1:5" ht="14">
      <c r="A178">
        <v>207</v>
      </c>
      <c r="B178" t="s">
        <v>542</v>
      </c>
      <c r="C178" t="s">
        <v>543</v>
      </c>
      <c r="D178" t="s">
        <v>543</v>
      </c>
      <c r="E178" t="s">
        <v>921</v>
      </c>
    </row>
    <row r="179" spans="1:5" ht="14">
      <c r="A179">
        <v>237</v>
      </c>
      <c r="B179" t="s">
        <v>545</v>
      </c>
      <c r="C179" t="s">
        <v>546</v>
      </c>
      <c r="D179" t="s">
        <v>546</v>
      </c>
      <c r="E179" t="s">
        <v>921</v>
      </c>
    </row>
    <row r="180" spans="1:5" ht="14">
      <c r="A180">
        <v>267</v>
      </c>
      <c r="B180" t="s">
        <v>548</v>
      </c>
      <c r="C180" t="s">
        <v>549</v>
      </c>
      <c r="D180" t="s">
        <v>549</v>
      </c>
      <c r="E180" t="s">
        <v>921</v>
      </c>
    </row>
    <row r="181" spans="1:5" ht="14">
      <c r="A181">
        <v>297</v>
      </c>
      <c r="B181" t="s">
        <v>551</v>
      </c>
      <c r="C181" t="s">
        <v>552</v>
      </c>
      <c r="D181" t="s">
        <v>552</v>
      </c>
      <c r="E181" t="s">
        <v>921</v>
      </c>
    </row>
    <row r="182" spans="1:5" ht="14">
      <c r="A182">
        <v>1</v>
      </c>
      <c r="B182" t="s">
        <v>554</v>
      </c>
      <c r="C182" t="s">
        <v>555</v>
      </c>
      <c r="D182" t="s">
        <v>555</v>
      </c>
      <c r="E182" t="s">
        <v>921</v>
      </c>
    </row>
    <row r="183" spans="1:5" ht="14">
      <c r="A183">
        <v>31</v>
      </c>
      <c r="B183" t="s">
        <v>557</v>
      </c>
      <c r="C183" t="s">
        <v>558</v>
      </c>
      <c r="D183" t="s">
        <v>558</v>
      </c>
      <c r="E183" t="s">
        <v>921</v>
      </c>
    </row>
    <row r="184" spans="1:5" ht="14">
      <c r="A184">
        <v>61</v>
      </c>
      <c r="B184" t="s">
        <v>560</v>
      </c>
      <c r="C184" t="s">
        <v>561</v>
      </c>
      <c r="D184" t="s">
        <v>561</v>
      </c>
      <c r="E184" t="s">
        <v>921</v>
      </c>
    </row>
    <row r="185" spans="1:5" ht="14">
      <c r="A185">
        <v>91</v>
      </c>
      <c r="B185" t="s">
        <v>563</v>
      </c>
      <c r="C185" t="s">
        <v>564</v>
      </c>
      <c r="D185" t="s">
        <v>564</v>
      </c>
      <c r="E185" t="s">
        <v>921</v>
      </c>
    </row>
    <row r="186" spans="1:5" ht="14">
      <c r="A186">
        <v>121</v>
      </c>
      <c r="B186" t="s">
        <v>566</v>
      </c>
      <c r="C186" t="s">
        <v>567</v>
      </c>
      <c r="D186" t="s">
        <v>567</v>
      </c>
      <c r="E186" t="s">
        <v>921</v>
      </c>
    </row>
    <row r="187" spans="1:5" ht="14">
      <c r="A187">
        <v>151</v>
      </c>
      <c r="B187" t="s">
        <v>569</v>
      </c>
      <c r="C187" t="s">
        <v>570</v>
      </c>
      <c r="D187" t="s">
        <v>570</v>
      </c>
      <c r="E187" t="s">
        <v>921</v>
      </c>
    </row>
    <row r="188" spans="1:5" ht="14">
      <c r="A188">
        <v>181</v>
      </c>
      <c r="B188" t="s">
        <v>572</v>
      </c>
      <c r="C188" t="s">
        <v>573</v>
      </c>
      <c r="D188" t="s">
        <v>573</v>
      </c>
      <c r="E188" t="s">
        <v>921</v>
      </c>
    </row>
    <row r="189" spans="1:5" ht="14">
      <c r="A189">
        <v>211</v>
      </c>
      <c r="B189" t="s">
        <v>575</v>
      </c>
      <c r="C189" t="s">
        <v>1249</v>
      </c>
      <c r="D189" t="s">
        <v>576</v>
      </c>
      <c r="E189" t="s">
        <v>1231</v>
      </c>
    </row>
    <row r="190" spans="1:5" ht="14">
      <c r="A190">
        <v>241</v>
      </c>
      <c r="B190" t="s">
        <v>578</v>
      </c>
      <c r="C190" t="s">
        <v>579</v>
      </c>
      <c r="D190" t="s">
        <v>579</v>
      </c>
      <c r="E190" t="s">
        <v>921</v>
      </c>
    </row>
    <row r="191" spans="1:5" ht="14">
      <c r="A191">
        <v>271</v>
      </c>
      <c r="B191" t="s">
        <v>581</v>
      </c>
      <c r="C191" t="s">
        <v>582</v>
      </c>
      <c r="D191" t="s">
        <v>582</v>
      </c>
      <c r="E191" t="s">
        <v>921</v>
      </c>
    </row>
    <row r="192" spans="1:5" ht="14">
      <c r="A192">
        <v>6</v>
      </c>
      <c r="B192" t="s">
        <v>584</v>
      </c>
      <c r="C192" t="s">
        <v>585</v>
      </c>
      <c r="D192" t="s">
        <v>585</v>
      </c>
      <c r="E192" t="s">
        <v>921</v>
      </c>
    </row>
    <row r="193" spans="1:5" ht="14">
      <c r="A193">
        <v>36</v>
      </c>
      <c r="B193" t="s">
        <v>587</v>
      </c>
      <c r="C193" t="s">
        <v>588</v>
      </c>
      <c r="D193" t="s">
        <v>588</v>
      </c>
      <c r="E193" t="s">
        <v>921</v>
      </c>
    </row>
    <row r="194" spans="1:5" ht="14">
      <c r="A194">
        <v>126</v>
      </c>
      <c r="B194" t="s">
        <v>590</v>
      </c>
      <c r="C194" t="s">
        <v>591</v>
      </c>
      <c r="D194" t="s">
        <v>591</v>
      </c>
      <c r="E194" t="s">
        <v>921</v>
      </c>
    </row>
    <row r="195" spans="1:5" ht="14">
      <c r="A195">
        <v>66</v>
      </c>
      <c r="B195" t="s">
        <v>593</v>
      </c>
      <c r="C195" t="s">
        <v>594</v>
      </c>
      <c r="D195" t="s">
        <v>594</v>
      </c>
      <c r="E195" t="s">
        <v>921</v>
      </c>
    </row>
    <row r="196" spans="1:5" ht="14">
      <c r="A196">
        <v>96</v>
      </c>
      <c r="B196" t="s">
        <v>596</v>
      </c>
      <c r="C196" t="s">
        <v>597</v>
      </c>
      <c r="D196" t="s">
        <v>597</v>
      </c>
      <c r="E196" t="s">
        <v>921</v>
      </c>
    </row>
    <row r="197" spans="1:5" ht="14">
      <c r="A197">
        <v>216</v>
      </c>
      <c r="B197" t="s">
        <v>599</v>
      </c>
      <c r="C197" t="s">
        <v>600</v>
      </c>
      <c r="D197" t="s">
        <v>600</v>
      </c>
      <c r="E197" t="s">
        <v>921</v>
      </c>
    </row>
    <row r="198" spans="1:5" ht="14">
      <c r="A198">
        <v>156</v>
      </c>
      <c r="B198" t="s">
        <v>602</v>
      </c>
      <c r="C198" t="s">
        <v>603</v>
      </c>
      <c r="D198" t="s">
        <v>603</v>
      </c>
      <c r="E198" t="s">
        <v>921</v>
      </c>
    </row>
    <row r="199" spans="1:5" ht="14">
      <c r="A199">
        <v>186</v>
      </c>
      <c r="B199" t="s">
        <v>605</v>
      </c>
      <c r="C199" t="s">
        <v>1250</v>
      </c>
      <c r="D199" t="s">
        <v>606</v>
      </c>
      <c r="E199" t="s">
        <v>1231</v>
      </c>
    </row>
    <row r="200" spans="1:5" ht="14">
      <c r="A200">
        <v>246</v>
      </c>
      <c r="B200" t="s">
        <v>608</v>
      </c>
      <c r="C200" t="s">
        <v>609</v>
      </c>
      <c r="D200" t="s">
        <v>609</v>
      </c>
      <c r="E200" t="s">
        <v>921</v>
      </c>
    </row>
    <row r="201" spans="1:5" ht="14">
      <c r="A201">
        <v>276</v>
      </c>
      <c r="B201" t="s">
        <v>611</v>
      </c>
      <c r="C201" t="s">
        <v>612</v>
      </c>
      <c r="D201" t="s">
        <v>612</v>
      </c>
      <c r="E201" t="s">
        <v>921</v>
      </c>
    </row>
    <row r="202" spans="1:5" ht="14">
      <c r="A202">
        <v>11</v>
      </c>
      <c r="B202" t="s">
        <v>614</v>
      </c>
      <c r="C202" t="s">
        <v>615</v>
      </c>
      <c r="D202" t="s">
        <v>615</v>
      </c>
      <c r="E202" t="s">
        <v>921</v>
      </c>
    </row>
    <row r="203" spans="1:5" ht="14">
      <c r="A203">
        <v>41</v>
      </c>
      <c r="B203" t="s">
        <v>617</v>
      </c>
      <c r="C203" t="s">
        <v>618</v>
      </c>
      <c r="D203" t="s">
        <v>618</v>
      </c>
      <c r="E203" t="s">
        <v>921</v>
      </c>
    </row>
    <row r="204" spans="1:5" ht="14">
      <c r="A204">
        <v>71</v>
      </c>
      <c r="B204" t="s">
        <v>620</v>
      </c>
      <c r="C204" t="s">
        <v>621</v>
      </c>
      <c r="D204" t="s">
        <v>621</v>
      </c>
      <c r="E204" t="s">
        <v>921</v>
      </c>
    </row>
    <row r="205" spans="1:5" ht="14">
      <c r="A205">
        <v>101</v>
      </c>
      <c r="B205" t="s">
        <v>623</v>
      </c>
      <c r="C205" t="s">
        <v>624</v>
      </c>
      <c r="D205" t="s">
        <v>624</v>
      </c>
      <c r="E205" t="s">
        <v>921</v>
      </c>
    </row>
    <row r="206" spans="1:5" ht="14">
      <c r="A206">
        <v>131</v>
      </c>
      <c r="B206" t="s">
        <v>626</v>
      </c>
      <c r="C206" t="s">
        <v>627</v>
      </c>
      <c r="D206" t="s">
        <v>627</v>
      </c>
      <c r="E206" t="s">
        <v>921</v>
      </c>
    </row>
    <row r="207" spans="1:5" ht="14">
      <c r="A207">
        <v>161</v>
      </c>
      <c r="B207" t="s">
        <v>629</v>
      </c>
      <c r="C207" t="s">
        <v>630</v>
      </c>
      <c r="D207" t="s">
        <v>630</v>
      </c>
      <c r="E207" t="s">
        <v>921</v>
      </c>
    </row>
    <row r="208" spans="1:5" ht="14">
      <c r="A208">
        <v>191</v>
      </c>
      <c r="B208" t="s">
        <v>632</v>
      </c>
      <c r="C208" t="s">
        <v>633</v>
      </c>
      <c r="D208" t="s">
        <v>633</v>
      </c>
      <c r="E208" t="s">
        <v>921</v>
      </c>
    </row>
    <row r="209" spans="1:5" ht="14">
      <c r="A209">
        <v>251</v>
      </c>
      <c r="B209" t="s">
        <v>635</v>
      </c>
      <c r="C209" t="s">
        <v>636</v>
      </c>
      <c r="D209" t="s">
        <v>636</v>
      </c>
      <c r="E209" t="s">
        <v>921</v>
      </c>
    </row>
    <row r="210" spans="1:5" ht="14">
      <c r="A210">
        <v>221</v>
      </c>
      <c r="B210" t="s">
        <v>638</v>
      </c>
      <c r="C210" t="s">
        <v>639</v>
      </c>
      <c r="D210" t="s">
        <v>639</v>
      </c>
      <c r="E210" t="s">
        <v>921</v>
      </c>
    </row>
    <row r="211" spans="1:5" ht="14">
      <c r="A211">
        <v>281</v>
      </c>
      <c r="B211" t="s">
        <v>641</v>
      </c>
      <c r="C211" t="s">
        <v>642</v>
      </c>
      <c r="D211" t="s">
        <v>642</v>
      </c>
      <c r="E211" t="s">
        <v>921</v>
      </c>
    </row>
    <row r="212" spans="1:5" ht="14">
      <c r="A212">
        <v>76</v>
      </c>
      <c r="B212" t="s">
        <v>644</v>
      </c>
      <c r="C212" t="s">
        <v>1251</v>
      </c>
      <c r="D212" t="s">
        <v>645</v>
      </c>
      <c r="E212" t="s">
        <v>1231</v>
      </c>
    </row>
    <row r="213" spans="1:5" ht="14">
      <c r="A213">
        <v>106</v>
      </c>
      <c r="B213" t="s">
        <v>647</v>
      </c>
      <c r="C213" t="s">
        <v>648</v>
      </c>
      <c r="D213" t="s">
        <v>648</v>
      </c>
      <c r="E213" t="s">
        <v>921</v>
      </c>
    </row>
    <row r="214" spans="1:5" ht="14">
      <c r="A214">
        <v>136</v>
      </c>
      <c r="B214" t="s">
        <v>650</v>
      </c>
      <c r="C214" t="s">
        <v>651</v>
      </c>
      <c r="D214" t="s">
        <v>651</v>
      </c>
      <c r="E214" t="s">
        <v>921</v>
      </c>
    </row>
    <row r="215" spans="1:5" ht="14">
      <c r="A215">
        <v>16</v>
      </c>
      <c r="B215" t="s">
        <v>653</v>
      </c>
      <c r="C215" t="s">
        <v>654</v>
      </c>
      <c r="D215" t="s">
        <v>654</v>
      </c>
      <c r="E215" t="s">
        <v>921</v>
      </c>
    </row>
    <row r="216" spans="1:5" ht="14">
      <c r="A216">
        <v>46</v>
      </c>
      <c r="B216" t="s">
        <v>656</v>
      </c>
      <c r="C216" t="s">
        <v>657</v>
      </c>
      <c r="D216" t="s">
        <v>657</v>
      </c>
      <c r="E216" t="s">
        <v>921</v>
      </c>
    </row>
    <row r="217" spans="1:5" ht="14">
      <c r="A217">
        <v>166</v>
      </c>
      <c r="B217" t="s">
        <v>659</v>
      </c>
      <c r="C217" t="s">
        <v>660</v>
      </c>
      <c r="D217" t="s">
        <v>660</v>
      </c>
      <c r="E217" t="s">
        <v>921</v>
      </c>
    </row>
    <row r="218" spans="1:5" ht="14">
      <c r="A218">
        <v>256</v>
      </c>
      <c r="B218" t="s">
        <v>662</v>
      </c>
      <c r="C218" t="s">
        <v>1252</v>
      </c>
      <c r="D218" t="s">
        <v>663</v>
      </c>
      <c r="E218" t="s">
        <v>1231</v>
      </c>
    </row>
    <row r="219" spans="1:5" ht="14">
      <c r="A219">
        <v>196</v>
      </c>
      <c r="B219" t="s">
        <v>665</v>
      </c>
      <c r="C219" t="s">
        <v>666</v>
      </c>
      <c r="D219" t="s">
        <v>666</v>
      </c>
      <c r="E219" t="s">
        <v>921</v>
      </c>
    </row>
    <row r="220" spans="1:5" ht="28">
      <c r="A220">
        <v>226</v>
      </c>
      <c r="B220" t="s">
        <v>668</v>
      </c>
      <c r="C220" t="s">
        <v>1253</v>
      </c>
      <c r="D220" t="s">
        <v>669</v>
      </c>
      <c r="E220" t="s">
        <v>1231</v>
      </c>
    </row>
    <row r="221" spans="1:5" ht="14">
      <c r="A221">
        <v>286</v>
      </c>
      <c r="B221" t="s">
        <v>671</v>
      </c>
      <c r="C221" t="s">
        <v>672</v>
      </c>
      <c r="D221" t="s">
        <v>672</v>
      </c>
      <c r="E221" t="s">
        <v>921</v>
      </c>
    </row>
    <row r="222" spans="1:5" ht="14">
      <c r="A222">
        <v>111</v>
      </c>
      <c r="B222" t="s">
        <v>674</v>
      </c>
      <c r="C222" t="s">
        <v>675</v>
      </c>
      <c r="D222" t="s">
        <v>675</v>
      </c>
      <c r="E222" t="s">
        <v>921</v>
      </c>
    </row>
    <row r="223" spans="1:5" ht="14">
      <c r="A223">
        <v>21</v>
      </c>
      <c r="B223" t="s">
        <v>677</v>
      </c>
      <c r="C223" t="s">
        <v>678</v>
      </c>
      <c r="D223" t="s">
        <v>678</v>
      </c>
      <c r="E223" t="s">
        <v>921</v>
      </c>
    </row>
    <row r="224" spans="1:5" ht="14">
      <c r="A224">
        <v>51</v>
      </c>
      <c r="B224" t="s">
        <v>680</v>
      </c>
      <c r="C224" t="s">
        <v>681</v>
      </c>
      <c r="D224" t="s">
        <v>681</v>
      </c>
      <c r="E224" t="s">
        <v>921</v>
      </c>
    </row>
    <row r="225" spans="1:5" ht="14">
      <c r="A225">
        <v>81</v>
      </c>
      <c r="B225" t="s">
        <v>683</v>
      </c>
      <c r="C225" t="s">
        <v>684</v>
      </c>
      <c r="D225" t="s">
        <v>684</v>
      </c>
      <c r="E225" t="s">
        <v>921</v>
      </c>
    </row>
    <row r="226" spans="1:5" ht="14">
      <c r="A226">
        <v>141</v>
      </c>
      <c r="B226" t="s">
        <v>686</v>
      </c>
      <c r="C226" t="s">
        <v>687</v>
      </c>
      <c r="D226" t="s">
        <v>687</v>
      </c>
      <c r="E226" t="s">
        <v>921</v>
      </c>
    </row>
    <row r="227" spans="1:5" ht="14">
      <c r="A227">
        <v>171</v>
      </c>
      <c r="B227" t="s">
        <v>689</v>
      </c>
      <c r="C227" t="s">
        <v>690</v>
      </c>
      <c r="D227" t="s">
        <v>690</v>
      </c>
      <c r="E227" t="s">
        <v>921</v>
      </c>
    </row>
    <row r="228" spans="1:5" ht="14">
      <c r="A228">
        <v>201</v>
      </c>
      <c r="B228" t="s">
        <v>692</v>
      </c>
      <c r="C228" t="s">
        <v>1254</v>
      </c>
      <c r="D228" t="s">
        <v>693</v>
      </c>
      <c r="E228" t="s">
        <v>1231</v>
      </c>
    </row>
    <row r="229" spans="1:5" ht="14">
      <c r="A229">
        <v>231</v>
      </c>
      <c r="B229" t="s">
        <v>695</v>
      </c>
      <c r="C229" t="s">
        <v>696</v>
      </c>
      <c r="D229" t="s">
        <v>696</v>
      </c>
      <c r="E229" t="s">
        <v>921</v>
      </c>
    </row>
    <row r="230" spans="1:5" ht="14">
      <c r="A230">
        <v>261</v>
      </c>
      <c r="B230" t="s">
        <v>698</v>
      </c>
      <c r="C230" t="s">
        <v>699</v>
      </c>
      <c r="D230" t="s">
        <v>699</v>
      </c>
      <c r="E230" t="s">
        <v>921</v>
      </c>
    </row>
    <row r="231" spans="1:5" ht="14">
      <c r="A231">
        <v>291</v>
      </c>
      <c r="B231" t="s">
        <v>701</v>
      </c>
      <c r="C231" t="s">
        <v>702</v>
      </c>
      <c r="D231" t="s">
        <v>702</v>
      </c>
      <c r="E231" t="s">
        <v>921</v>
      </c>
    </row>
    <row r="232" spans="1:5" ht="14">
      <c r="A232">
        <v>26</v>
      </c>
      <c r="B232" t="s">
        <v>704</v>
      </c>
      <c r="C232" t="s">
        <v>705</v>
      </c>
      <c r="D232" t="s">
        <v>705</v>
      </c>
      <c r="E232" t="s">
        <v>921</v>
      </c>
    </row>
    <row r="233" spans="1:5" ht="14">
      <c r="A233">
        <v>56</v>
      </c>
      <c r="B233" t="s">
        <v>707</v>
      </c>
      <c r="C233" t="s">
        <v>708</v>
      </c>
      <c r="D233" t="s">
        <v>708</v>
      </c>
      <c r="E233" t="s">
        <v>921</v>
      </c>
    </row>
    <row r="234" spans="1:5" ht="14">
      <c r="A234">
        <v>86</v>
      </c>
      <c r="B234" t="s">
        <v>710</v>
      </c>
      <c r="C234" t="s">
        <v>711</v>
      </c>
      <c r="D234" t="s">
        <v>711</v>
      </c>
      <c r="E234" t="s">
        <v>921</v>
      </c>
    </row>
    <row r="235" spans="1:5" ht="14">
      <c r="A235">
        <v>116</v>
      </c>
      <c r="B235" t="s">
        <v>713</v>
      </c>
      <c r="C235" t="s">
        <v>714</v>
      </c>
      <c r="D235" t="s">
        <v>714</v>
      </c>
      <c r="E235" t="s">
        <v>921</v>
      </c>
    </row>
    <row r="236" spans="1:5" ht="14">
      <c r="A236">
        <v>146</v>
      </c>
      <c r="B236" t="s">
        <v>716</v>
      </c>
      <c r="C236" t="s">
        <v>717</v>
      </c>
      <c r="D236" t="s">
        <v>717</v>
      </c>
      <c r="E236" t="s">
        <v>921</v>
      </c>
    </row>
    <row r="237" spans="1:5" ht="14">
      <c r="A237">
        <v>176</v>
      </c>
      <c r="B237" t="s">
        <v>719</v>
      </c>
      <c r="C237" t="s">
        <v>720</v>
      </c>
      <c r="D237" t="s">
        <v>720</v>
      </c>
      <c r="E237" t="s">
        <v>921</v>
      </c>
    </row>
    <row r="238" spans="1:5" ht="14">
      <c r="A238">
        <v>206</v>
      </c>
      <c r="B238" t="s">
        <v>722</v>
      </c>
      <c r="C238" t="s">
        <v>723</v>
      </c>
      <c r="D238" t="s">
        <v>723</v>
      </c>
      <c r="E238" t="s">
        <v>921</v>
      </c>
    </row>
    <row r="239" spans="1:5" ht="14">
      <c r="A239">
        <v>236</v>
      </c>
      <c r="B239" t="s">
        <v>725</v>
      </c>
      <c r="C239" t="s">
        <v>726</v>
      </c>
      <c r="D239" t="s">
        <v>726</v>
      </c>
      <c r="E239" t="s">
        <v>921</v>
      </c>
    </row>
    <row r="240" spans="1:5" ht="14">
      <c r="A240">
        <v>266</v>
      </c>
      <c r="B240" t="s">
        <v>728</v>
      </c>
      <c r="C240" t="s">
        <v>1255</v>
      </c>
      <c r="D240" t="s">
        <v>729</v>
      </c>
      <c r="E240" t="s">
        <v>1231</v>
      </c>
    </row>
    <row r="241" spans="1:5" ht="14">
      <c r="A241">
        <v>296</v>
      </c>
      <c r="B241" t="s">
        <v>731</v>
      </c>
      <c r="C241" t="s">
        <v>1256</v>
      </c>
      <c r="D241" t="s">
        <v>732</v>
      </c>
      <c r="E241" t="s">
        <v>1231</v>
      </c>
    </row>
    <row r="242" spans="1:5" ht="14">
      <c r="A242">
        <v>3</v>
      </c>
      <c r="B242" t="s">
        <v>734</v>
      </c>
      <c r="C242" t="s">
        <v>735</v>
      </c>
      <c r="D242" t="s">
        <v>735</v>
      </c>
      <c r="E242" t="s">
        <v>921</v>
      </c>
    </row>
    <row r="243" spans="1:5" ht="14">
      <c r="A243">
        <v>33</v>
      </c>
      <c r="B243" t="s">
        <v>737</v>
      </c>
      <c r="C243" t="s">
        <v>738</v>
      </c>
      <c r="D243" t="s">
        <v>738</v>
      </c>
      <c r="E243" t="s">
        <v>921</v>
      </c>
    </row>
    <row r="244" spans="1:5" ht="14">
      <c r="A244">
        <v>63</v>
      </c>
      <c r="B244" t="s">
        <v>740</v>
      </c>
      <c r="C244" t="s">
        <v>741</v>
      </c>
      <c r="D244" t="s">
        <v>741</v>
      </c>
      <c r="E244" t="s">
        <v>921</v>
      </c>
    </row>
    <row r="245" spans="1:5" ht="14">
      <c r="A245">
        <v>93</v>
      </c>
      <c r="B245" t="s">
        <v>743</v>
      </c>
      <c r="C245" t="s">
        <v>744</v>
      </c>
      <c r="D245" t="s">
        <v>744</v>
      </c>
      <c r="E245" t="s">
        <v>921</v>
      </c>
    </row>
    <row r="246" spans="1:5" ht="14">
      <c r="A246">
        <v>123</v>
      </c>
      <c r="B246" t="s">
        <v>746</v>
      </c>
      <c r="C246" t="s">
        <v>747</v>
      </c>
      <c r="D246" t="s">
        <v>747</v>
      </c>
      <c r="E246" t="s">
        <v>921</v>
      </c>
    </row>
    <row r="247" spans="1:5" ht="14">
      <c r="A247">
        <v>153</v>
      </c>
      <c r="B247" t="s">
        <v>749</v>
      </c>
      <c r="C247" t="s">
        <v>750</v>
      </c>
      <c r="D247" t="s">
        <v>750</v>
      </c>
      <c r="E247" t="s">
        <v>921</v>
      </c>
    </row>
    <row r="248" spans="1:5" ht="14">
      <c r="A248">
        <v>183</v>
      </c>
      <c r="B248" t="s">
        <v>752</v>
      </c>
      <c r="C248" t="s">
        <v>753</v>
      </c>
      <c r="D248" t="s">
        <v>753</v>
      </c>
      <c r="E248" t="s">
        <v>921</v>
      </c>
    </row>
    <row r="249" spans="1:5" ht="14">
      <c r="A249">
        <v>213</v>
      </c>
      <c r="B249" t="s">
        <v>755</v>
      </c>
      <c r="C249" t="s">
        <v>756</v>
      </c>
      <c r="D249" t="s">
        <v>756</v>
      </c>
      <c r="E249" t="s">
        <v>921</v>
      </c>
    </row>
    <row r="250" spans="1:5" ht="14">
      <c r="A250">
        <v>243</v>
      </c>
      <c r="B250" t="s">
        <v>758</v>
      </c>
      <c r="C250" t="s">
        <v>759</v>
      </c>
      <c r="D250" t="s">
        <v>759</v>
      </c>
      <c r="E250" t="s">
        <v>921</v>
      </c>
    </row>
    <row r="251" spans="1:5" ht="14">
      <c r="A251">
        <v>273</v>
      </c>
      <c r="B251" t="s">
        <v>761</v>
      </c>
      <c r="C251" t="s">
        <v>1257</v>
      </c>
      <c r="D251" t="s">
        <v>762</v>
      </c>
      <c r="E251" t="s">
        <v>1231</v>
      </c>
    </row>
    <row r="252" spans="1:5" ht="14">
      <c r="A252">
        <v>8</v>
      </c>
      <c r="B252" t="s">
        <v>764</v>
      </c>
      <c r="C252" t="s">
        <v>765</v>
      </c>
      <c r="D252" t="s">
        <v>765</v>
      </c>
      <c r="E252" t="s">
        <v>921</v>
      </c>
    </row>
    <row r="253" spans="1:5" ht="14">
      <c r="A253">
        <v>68</v>
      </c>
      <c r="B253" t="s">
        <v>767</v>
      </c>
      <c r="C253" t="s">
        <v>768</v>
      </c>
      <c r="D253" t="s">
        <v>768</v>
      </c>
      <c r="E253" t="s">
        <v>921</v>
      </c>
    </row>
    <row r="254" spans="1:5" ht="14">
      <c r="A254">
        <v>38</v>
      </c>
      <c r="B254" t="s">
        <v>770</v>
      </c>
      <c r="C254" t="s">
        <v>771</v>
      </c>
      <c r="D254" t="s">
        <v>771</v>
      </c>
      <c r="E254" t="s">
        <v>921</v>
      </c>
    </row>
    <row r="255" spans="1:5" ht="14">
      <c r="A255">
        <v>98</v>
      </c>
      <c r="B255" t="s">
        <v>773</v>
      </c>
      <c r="C255" t="s">
        <v>774</v>
      </c>
      <c r="D255" t="s">
        <v>774</v>
      </c>
      <c r="E255" t="s">
        <v>921</v>
      </c>
    </row>
    <row r="256" spans="1:5" ht="14">
      <c r="A256">
        <v>128</v>
      </c>
      <c r="B256" t="s">
        <v>776</v>
      </c>
      <c r="C256" t="s">
        <v>777</v>
      </c>
      <c r="D256" t="s">
        <v>777</v>
      </c>
      <c r="E256" t="s">
        <v>921</v>
      </c>
    </row>
    <row r="257" spans="1:5" ht="14">
      <c r="A257">
        <v>188</v>
      </c>
      <c r="B257" t="s">
        <v>779</v>
      </c>
      <c r="C257" t="s">
        <v>780</v>
      </c>
      <c r="D257" t="s">
        <v>780</v>
      </c>
      <c r="E257" t="s">
        <v>921</v>
      </c>
    </row>
    <row r="258" spans="1:5" ht="14">
      <c r="A258">
        <v>218</v>
      </c>
      <c r="B258" t="s">
        <v>782</v>
      </c>
      <c r="C258" t="s">
        <v>783</v>
      </c>
      <c r="D258" t="s">
        <v>783</v>
      </c>
      <c r="E258" t="s">
        <v>921</v>
      </c>
    </row>
    <row r="259" spans="1:5" ht="14">
      <c r="A259">
        <v>158</v>
      </c>
      <c r="B259" t="s">
        <v>785</v>
      </c>
      <c r="C259" t="s">
        <v>786</v>
      </c>
      <c r="D259" t="s">
        <v>786</v>
      </c>
      <c r="E259" t="s">
        <v>921</v>
      </c>
    </row>
    <row r="260" spans="1:5" ht="14">
      <c r="A260">
        <v>248</v>
      </c>
      <c r="B260" t="s">
        <v>788</v>
      </c>
      <c r="C260" t="s">
        <v>789</v>
      </c>
      <c r="D260" t="s">
        <v>789</v>
      </c>
      <c r="E260" t="s">
        <v>921</v>
      </c>
    </row>
    <row r="261" spans="1:5" ht="14">
      <c r="A261">
        <v>278</v>
      </c>
      <c r="B261" t="s">
        <v>791</v>
      </c>
      <c r="C261" t="s">
        <v>792</v>
      </c>
      <c r="D261" t="s">
        <v>792</v>
      </c>
      <c r="E261" t="s">
        <v>921</v>
      </c>
    </row>
    <row r="262" spans="1:5" ht="14">
      <c r="A262">
        <v>13</v>
      </c>
      <c r="B262" t="s">
        <v>794</v>
      </c>
      <c r="C262" t="s">
        <v>795</v>
      </c>
      <c r="D262" t="s">
        <v>795</v>
      </c>
      <c r="E262" t="s">
        <v>921</v>
      </c>
    </row>
    <row r="263" spans="1:5" ht="14">
      <c r="A263">
        <v>43</v>
      </c>
      <c r="B263" t="s">
        <v>797</v>
      </c>
      <c r="C263" t="s">
        <v>798</v>
      </c>
      <c r="D263" t="s">
        <v>798</v>
      </c>
      <c r="E263" t="s">
        <v>921</v>
      </c>
    </row>
    <row r="264" spans="1:5" ht="14">
      <c r="A264">
        <v>73</v>
      </c>
      <c r="B264" t="s">
        <v>800</v>
      </c>
      <c r="C264" t="s">
        <v>801</v>
      </c>
      <c r="D264" t="s">
        <v>801</v>
      </c>
      <c r="E264" t="s">
        <v>921</v>
      </c>
    </row>
    <row r="265" spans="1:5" ht="14">
      <c r="A265">
        <v>103</v>
      </c>
      <c r="B265" t="s">
        <v>803</v>
      </c>
      <c r="C265" t="s">
        <v>804</v>
      </c>
      <c r="D265" t="s">
        <v>804</v>
      </c>
      <c r="E265" t="s">
        <v>921</v>
      </c>
    </row>
    <row r="266" spans="1:5" ht="14">
      <c r="A266">
        <v>133</v>
      </c>
      <c r="B266" t="s">
        <v>806</v>
      </c>
      <c r="C266" t="s">
        <v>807</v>
      </c>
      <c r="D266" t="s">
        <v>807</v>
      </c>
      <c r="E266" t="s">
        <v>921</v>
      </c>
    </row>
    <row r="267" spans="1:5" ht="14">
      <c r="A267">
        <v>223</v>
      </c>
      <c r="B267" t="s">
        <v>809</v>
      </c>
      <c r="C267" t="s">
        <v>810</v>
      </c>
      <c r="D267" t="s">
        <v>810</v>
      </c>
      <c r="E267" t="s">
        <v>921</v>
      </c>
    </row>
    <row r="268" spans="1:5" ht="14">
      <c r="A268">
        <v>283</v>
      </c>
      <c r="B268" t="s">
        <v>812</v>
      </c>
      <c r="C268" t="s">
        <v>813</v>
      </c>
      <c r="D268" t="s">
        <v>813</v>
      </c>
      <c r="E268" t="s">
        <v>921</v>
      </c>
    </row>
    <row r="269" spans="1:5" ht="14">
      <c r="A269">
        <v>163</v>
      </c>
      <c r="B269" t="s">
        <v>815</v>
      </c>
      <c r="C269" t="s">
        <v>1258</v>
      </c>
      <c r="D269" t="s">
        <v>816</v>
      </c>
      <c r="E269" t="s">
        <v>1231</v>
      </c>
    </row>
    <row r="270" spans="1:5" ht="14">
      <c r="A270">
        <v>193</v>
      </c>
      <c r="B270" t="s">
        <v>818</v>
      </c>
      <c r="C270" t="s">
        <v>819</v>
      </c>
      <c r="D270" t="s">
        <v>819</v>
      </c>
      <c r="E270" t="s">
        <v>921</v>
      </c>
    </row>
    <row r="271" spans="1:5" ht="14">
      <c r="A271">
        <v>253</v>
      </c>
      <c r="B271" t="s">
        <v>821</v>
      </c>
      <c r="C271" t="s">
        <v>822</v>
      </c>
      <c r="D271" t="s">
        <v>822</v>
      </c>
      <c r="E271" t="s">
        <v>921</v>
      </c>
    </row>
    <row r="272" spans="1:5" ht="14">
      <c r="A272">
        <v>18</v>
      </c>
      <c r="B272" t="s">
        <v>824</v>
      </c>
      <c r="C272" t="s">
        <v>825</v>
      </c>
      <c r="D272" t="s">
        <v>825</v>
      </c>
      <c r="E272" t="s">
        <v>921</v>
      </c>
    </row>
    <row r="273" spans="1:5" ht="14">
      <c r="A273">
        <v>48</v>
      </c>
      <c r="B273" t="s">
        <v>827</v>
      </c>
      <c r="C273" t="s">
        <v>828</v>
      </c>
      <c r="D273" t="s">
        <v>828</v>
      </c>
      <c r="E273" t="s">
        <v>921</v>
      </c>
    </row>
    <row r="274" spans="1:5" ht="14">
      <c r="A274">
        <v>78</v>
      </c>
      <c r="B274" t="s">
        <v>830</v>
      </c>
      <c r="C274" t="s">
        <v>831</v>
      </c>
      <c r="D274" t="s">
        <v>831</v>
      </c>
      <c r="E274" t="s">
        <v>921</v>
      </c>
    </row>
    <row r="275" spans="1:5" ht="14">
      <c r="A275">
        <v>108</v>
      </c>
      <c r="B275" t="s">
        <v>833</v>
      </c>
      <c r="C275" t="s">
        <v>834</v>
      </c>
      <c r="D275" t="s">
        <v>834</v>
      </c>
      <c r="E275" t="s">
        <v>921</v>
      </c>
    </row>
    <row r="276" spans="1:5" ht="14">
      <c r="A276">
        <v>138</v>
      </c>
      <c r="B276" t="s">
        <v>836</v>
      </c>
      <c r="C276" t="s">
        <v>837</v>
      </c>
      <c r="D276" t="s">
        <v>837</v>
      </c>
      <c r="E276" t="s">
        <v>921</v>
      </c>
    </row>
    <row r="277" spans="1:5" ht="14">
      <c r="A277">
        <v>168</v>
      </c>
      <c r="B277" t="s">
        <v>839</v>
      </c>
      <c r="C277" t="s">
        <v>840</v>
      </c>
      <c r="D277" t="s">
        <v>840</v>
      </c>
      <c r="E277" t="s">
        <v>921</v>
      </c>
    </row>
    <row r="278" spans="1:5" ht="14">
      <c r="A278">
        <v>288</v>
      </c>
      <c r="B278" t="s">
        <v>842</v>
      </c>
      <c r="C278" t="s">
        <v>843</v>
      </c>
      <c r="D278" t="s">
        <v>843</v>
      </c>
      <c r="E278" t="s">
        <v>921</v>
      </c>
    </row>
    <row r="279" spans="1:5" ht="14">
      <c r="A279">
        <v>198</v>
      </c>
      <c r="B279" t="s">
        <v>845</v>
      </c>
      <c r="C279" t="s">
        <v>1259</v>
      </c>
      <c r="D279" t="s">
        <v>846</v>
      </c>
      <c r="E279" t="s">
        <v>1231</v>
      </c>
    </row>
    <row r="280" spans="1:5" ht="14">
      <c r="A280">
        <v>228</v>
      </c>
      <c r="B280" t="s">
        <v>848</v>
      </c>
      <c r="C280" t="s">
        <v>849</v>
      </c>
      <c r="D280" t="s">
        <v>849</v>
      </c>
      <c r="E280" t="s">
        <v>921</v>
      </c>
    </row>
    <row r="281" spans="1:5" ht="14">
      <c r="A281">
        <v>258</v>
      </c>
      <c r="B281" t="s">
        <v>851</v>
      </c>
      <c r="C281" t="s">
        <v>852</v>
      </c>
      <c r="D281" t="s">
        <v>852</v>
      </c>
      <c r="E281" t="s">
        <v>921</v>
      </c>
    </row>
    <row r="282" spans="1:5" ht="14">
      <c r="A282">
        <v>53</v>
      </c>
      <c r="B282" t="s">
        <v>854</v>
      </c>
      <c r="C282" t="s">
        <v>855</v>
      </c>
      <c r="D282" t="s">
        <v>855</v>
      </c>
      <c r="E282" t="s">
        <v>921</v>
      </c>
    </row>
    <row r="283" spans="1:5" ht="14">
      <c r="A283">
        <v>23</v>
      </c>
      <c r="B283" t="s">
        <v>857</v>
      </c>
      <c r="C283" t="s">
        <v>858</v>
      </c>
      <c r="D283" t="s">
        <v>858</v>
      </c>
      <c r="E283" t="s">
        <v>921</v>
      </c>
    </row>
    <row r="284" spans="1:5" ht="14">
      <c r="A284">
        <v>83</v>
      </c>
      <c r="B284" t="s">
        <v>860</v>
      </c>
      <c r="C284" t="s">
        <v>861</v>
      </c>
      <c r="D284" t="s">
        <v>861</v>
      </c>
      <c r="E284" t="s">
        <v>921</v>
      </c>
    </row>
    <row r="285" spans="1:5" ht="14">
      <c r="A285">
        <v>113</v>
      </c>
      <c r="B285" t="s">
        <v>863</v>
      </c>
      <c r="C285" t="s">
        <v>864</v>
      </c>
      <c r="D285" t="s">
        <v>864</v>
      </c>
      <c r="E285" t="s">
        <v>921</v>
      </c>
    </row>
    <row r="286" spans="1:5" ht="14">
      <c r="A286">
        <v>143</v>
      </c>
      <c r="B286" t="s">
        <v>866</v>
      </c>
      <c r="C286" t="s">
        <v>867</v>
      </c>
      <c r="D286" t="s">
        <v>867</v>
      </c>
      <c r="E286" t="s">
        <v>921</v>
      </c>
    </row>
    <row r="287" spans="1:5" ht="14">
      <c r="A287">
        <v>203</v>
      </c>
      <c r="B287" t="s">
        <v>869</v>
      </c>
      <c r="C287" t="s">
        <v>870</v>
      </c>
      <c r="D287" t="s">
        <v>870</v>
      </c>
      <c r="E287" t="s">
        <v>921</v>
      </c>
    </row>
    <row r="288" spans="1:5" ht="14">
      <c r="A288">
        <v>233</v>
      </c>
      <c r="B288" t="s">
        <v>872</v>
      </c>
      <c r="C288" t="s">
        <v>873</v>
      </c>
      <c r="D288" t="s">
        <v>873</v>
      </c>
      <c r="E288" t="s">
        <v>921</v>
      </c>
    </row>
    <row r="289" spans="1:5" ht="14">
      <c r="A289">
        <v>263</v>
      </c>
      <c r="B289" t="s">
        <v>875</v>
      </c>
      <c r="C289" t="s">
        <v>876</v>
      </c>
      <c r="D289" t="s">
        <v>876</v>
      </c>
      <c r="E289" t="s">
        <v>921</v>
      </c>
    </row>
    <row r="290" spans="1:5" ht="14">
      <c r="A290">
        <v>173</v>
      </c>
      <c r="B290" t="s">
        <v>878</v>
      </c>
      <c r="C290" t="s">
        <v>879</v>
      </c>
      <c r="D290" t="s">
        <v>879</v>
      </c>
      <c r="E290" t="s">
        <v>921</v>
      </c>
    </row>
    <row r="291" spans="1:5" ht="14">
      <c r="A291">
        <v>293</v>
      </c>
      <c r="B291" t="s">
        <v>881</v>
      </c>
      <c r="C291" t="s">
        <v>882</v>
      </c>
      <c r="D291" t="s">
        <v>882</v>
      </c>
      <c r="E291" t="s">
        <v>921</v>
      </c>
    </row>
    <row r="292" spans="1:5" ht="14">
      <c r="A292">
        <v>28</v>
      </c>
      <c r="B292" t="s">
        <v>884</v>
      </c>
      <c r="C292" t="s">
        <v>885</v>
      </c>
      <c r="D292" t="s">
        <v>885</v>
      </c>
      <c r="E292" t="s">
        <v>921</v>
      </c>
    </row>
    <row r="293" spans="1:5" ht="14">
      <c r="A293">
        <v>58</v>
      </c>
      <c r="B293" t="s">
        <v>887</v>
      </c>
      <c r="C293" t="s">
        <v>888</v>
      </c>
      <c r="D293" t="s">
        <v>888</v>
      </c>
      <c r="E293" t="s">
        <v>921</v>
      </c>
    </row>
    <row r="294" spans="1:5" ht="28">
      <c r="A294">
        <v>88</v>
      </c>
      <c r="B294" t="s">
        <v>890</v>
      </c>
      <c r="C294" t="s">
        <v>891</v>
      </c>
      <c r="D294" t="s">
        <v>891</v>
      </c>
      <c r="E294" t="s">
        <v>921</v>
      </c>
    </row>
    <row r="295" spans="1:5" ht="14">
      <c r="A295">
        <v>148</v>
      </c>
      <c r="B295" t="s">
        <v>893</v>
      </c>
      <c r="C295" t="s">
        <v>894</v>
      </c>
      <c r="D295" t="s">
        <v>894</v>
      </c>
      <c r="E295" t="s">
        <v>921</v>
      </c>
    </row>
    <row r="296" spans="1:5" ht="14">
      <c r="A296">
        <v>268</v>
      </c>
      <c r="B296" t="s">
        <v>896</v>
      </c>
      <c r="C296" t="s">
        <v>897</v>
      </c>
      <c r="D296" t="s">
        <v>897</v>
      </c>
      <c r="E296" t="s">
        <v>921</v>
      </c>
    </row>
    <row r="297" spans="1:5" ht="14">
      <c r="A297">
        <v>118</v>
      </c>
      <c r="B297" t="s">
        <v>899</v>
      </c>
      <c r="C297" t="s">
        <v>900</v>
      </c>
      <c r="D297" t="s">
        <v>900</v>
      </c>
      <c r="E297" t="s">
        <v>921</v>
      </c>
    </row>
    <row r="298" spans="1:5" ht="14">
      <c r="A298">
        <v>178</v>
      </c>
      <c r="B298" t="s">
        <v>902</v>
      </c>
      <c r="C298" t="s">
        <v>903</v>
      </c>
      <c r="D298" t="s">
        <v>903</v>
      </c>
      <c r="E298" t="s">
        <v>921</v>
      </c>
    </row>
    <row r="299" spans="1:5" ht="14">
      <c r="A299">
        <v>208</v>
      </c>
      <c r="B299" t="s">
        <v>905</v>
      </c>
      <c r="C299" t="s">
        <v>906</v>
      </c>
      <c r="D299" t="s">
        <v>906</v>
      </c>
      <c r="E299" t="s">
        <v>921</v>
      </c>
    </row>
    <row r="300" spans="1:5" ht="14">
      <c r="A300">
        <v>238</v>
      </c>
      <c r="B300" t="s">
        <v>908</v>
      </c>
      <c r="C300" t="s">
        <v>1260</v>
      </c>
      <c r="D300" t="s">
        <v>909</v>
      </c>
      <c r="E300" t="s">
        <v>1231</v>
      </c>
    </row>
    <row r="301" spans="1:5" ht="14">
      <c r="A301">
        <v>298</v>
      </c>
      <c r="B301" t="s">
        <v>911</v>
      </c>
      <c r="C301" t="s">
        <v>912</v>
      </c>
      <c r="D301" t="s">
        <v>912</v>
      </c>
      <c r="E301" t="s">
        <v>921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1"/>
  <sheetViews>
    <sheetView workbookViewId="0"/>
  </sheetViews>
  <sheetFormatPr baseColWidth="10" defaultColWidth="8.83203125" defaultRowHeight="13"/>
  <cols>
    <col min="1" max="1" width="10" style="6" customWidth="1"/>
    <col min="2" max="2" width="80" style="6" customWidth="1"/>
  </cols>
  <sheetData>
    <row r="1" spans="1:2" ht="14">
      <c r="A1" s="17" t="s">
        <v>6</v>
      </c>
      <c r="B1" s="17" t="s">
        <v>1261</v>
      </c>
    </row>
    <row r="2" spans="1:2" ht="70">
      <c r="A2">
        <v>1</v>
      </c>
      <c r="B2" t="s">
        <v>1262</v>
      </c>
    </row>
    <row r="3" spans="1:2" ht="70">
      <c r="A3">
        <v>2</v>
      </c>
      <c r="B3" t="s">
        <v>1263</v>
      </c>
    </row>
    <row r="4" spans="1:2" ht="70">
      <c r="A4">
        <v>3</v>
      </c>
      <c r="B4" t="s">
        <v>1264</v>
      </c>
    </row>
    <row r="5" spans="1:2" ht="70">
      <c r="A5">
        <v>4</v>
      </c>
      <c r="B5" t="s">
        <v>1265</v>
      </c>
    </row>
    <row r="6" spans="1:2" ht="70">
      <c r="A6">
        <v>5</v>
      </c>
      <c r="B6" t="s">
        <v>1266</v>
      </c>
    </row>
    <row r="7" spans="1:2" ht="70">
      <c r="A7">
        <v>6</v>
      </c>
      <c r="B7" t="s">
        <v>1267</v>
      </c>
    </row>
    <row r="8" spans="1:2" ht="70">
      <c r="A8">
        <v>7</v>
      </c>
      <c r="B8" t="s">
        <v>1268</v>
      </c>
    </row>
    <row r="9" spans="1:2" ht="70">
      <c r="A9">
        <v>8</v>
      </c>
      <c r="B9" t="s">
        <v>1269</v>
      </c>
    </row>
    <row r="10" spans="1:2" ht="70">
      <c r="A10">
        <v>9</v>
      </c>
      <c r="B10" t="s">
        <v>1270</v>
      </c>
    </row>
    <row r="11" spans="1:2" ht="70">
      <c r="A11">
        <v>10</v>
      </c>
      <c r="B11" t="s">
        <v>1271</v>
      </c>
    </row>
    <row r="12" spans="1:2" ht="70">
      <c r="A12">
        <v>11</v>
      </c>
      <c r="B12" t="s">
        <v>1272</v>
      </c>
    </row>
    <row r="13" spans="1:2" ht="70">
      <c r="A13">
        <v>12</v>
      </c>
      <c r="B13" t="s">
        <v>1273</v>
      </c>
    </row>
    <row r="14" spans="1:2" ht="70">
      <c r="A14">
        <v>13</v>
      </c>
      <c r="B14" t="s">
        <v>1274</v>
      </c>
    </row>
    <row r="15" spans="1:2" ht="70">
      <c r="A15">
        <v>14</v>
      </c>
      <c r="B15" t="s">
        <v>1275</v>
      </c>
    </row>
    <row r="16" spans="1:2" ht="70">
      <c r="A16">
        <v>15</v>
      </c>
      <c r="B16" t="s">
        <v>1276</v>
      </c>
    </row>
    <row r="17" spans="1:2" ht="70">
      <c r="A17">
        <v>16</v>
      </c>
      <c r="B17" t="s">
        <v>1277</v>
      </c>
    </row>
    <row r="18" spans="1:2" ht="70">
      <c r="A18">
        <v>17</v>
      </c>
      <c r="B18" t="s">
        <v>1278</v>
      </c>
    </row>
    <row r="19" spans="1:2" ht="70">
      <c r="A19">
        <v>18</v>
      </c>
      <c r="B19" t="s">
        <v>1279</v>
      </c>
    </row>
    <row r="20" spans="1:2" ht="70">
      <c r="A20">
        <v>19</v>
      </c>
      <c r="B20" t="s">
        <v>1280</v>
      </c>
    </row>
    <row r="21" spans="1:2" ht="70">
      <c r="A21">
        <v>20</v>
      </c>
      <c r="B21" t="s">
        <v>1281</v>
      </c>
    </row>
    <row r="22" spans="1:2" ht="70">
      <c r="A22">
        <v>21</v>
      </c>
      <c r="B22" t="s">
        <v>1282</v>
      </c>
    </row>
    <row r="23" spans="1:2" ht="70">
      <c r="A23">
        <v>22</v>
      </c>
      <c r="B23" t="s">
        <v>1283</v>
      </c>
    </row>
    <row r="24" spans="1:2" ht="70">
      <c r="A24">
        <v>23</v>
      </c>
      <c r="B24" t="s">
        <v>1284</v>
      </c>
    </row>
    <row r="25" spans="1:2" ht="70">
      <c r="A25">
        <v>24</v>
      </c>
      <c r="B25" t="s">
        <v>1285</v>
      </c>
    </row>
    <row r="26" spans="1:2" ht="70">
      <c r="A26">
        <v>25</v>
      </c>
      <c r="B26" t="s">
        <v>1286</v>
      </c>
    </row>
    <row r="27" spans="1:2" ht="70">
      <c r="A27">
        <v>26</v>
      </c>
      <c r="B27" t="s">
        <v>1287</v>
      </c>
    </row>
    <row r="28" spans="1:2" ht="70">
      <c r="A28">
        <v>27</v>
      </c>
      <c r="B28" t="s">
        <v>1288</v>
      </c>
    </row>
    <row r="29" spans="1:2" ht="70">
      <c r="A29">
        <v>28</v>
      </c>
      <c r="B29" t="s">
        <v>1289</v>
      </c>
    </row>
    <row r="30" spans="1:2" ht="70">
      <c r="A30">
        <v>29</v>
      </c>
      <c r="B30" t="s">
        <v>1290</v>
      </c>
    </row>
    <row r="31" spans="1:2" ht="70">
      <c r="A31">
        <v>30</v>
      </c>
      <c r="B31" t="s">
        <v>1291</v>
      </c>
    </row>
    <row r="32" spans="1:2" ht="70">
      <c r="A32">
        <v>31</v>
      </c>
      <c r="B32" t="s">
        <v>1262</v>
      </c>
    </row>
    <row r="33" spans="1:2" ht="70">
      <c r="A33">
        <v>32</v>
      </c>
      <c r="B33" t="s">
        <v>1263</v>
      </c>
    </row>
    <row r="34" spans="1:2" ht="70">
      <c r="A34">
        <v>33</v>
      </c>
      <c r="B34" t="s">
        <v>1264</v>
      </c>
    </row>
    <row r="35" spans="1:2" ht="70">
      <c r="A35">
        <v>34</v>
      </c>
      <c r="B35" t="s">
        <v>1265</v>
      </c>
    </row>
    <row r="36" spans="1:2" ht="70">
      <c r="A36">
        <v>35</v>
      </c>
      <c r="B36" t="s">
        <v>1266</v>
      </c>
    </row>
    <row r="37" spans="1:2" ht="70">
      <c r="A37">
        <v>36</v>
      </c>
      <c r="B37" t="s">
        <v>1267</v>
      </c>
    </row>
    <row r="38" spans="1:2" ht="70">
      <c r="A38">
        <v>37</v>
      </c>
      <c r="B38" t="s">
        <v>1268</v>
      </c>
    </row>
    <row r="39" spans="1:2" ht="70">
      <c r="A39">
        <v>38</v>
      </c>
      <c r="B39" t="s">
        <v>1269</v>
      </c>
    </row>
    <row r="40" spans="1:2" ht="70">
      <c r="A40">
        <v>39</v>
      </c>
      <c r="B40" t="s">
        <v>1270</v>
      </c>
    </row>
    <row r="41" spans="1:2" ht="70">
      <c r="A41">
        <v>40</v>
      </c>
      <c r="B41" t="s">
        <v>1271</v>
      </c>
    </row>
    <row r="42" spans="1:2" ht="70">
      <c r="A42">
        <v>41</v>
      </c>
      <c r="B42" t="s">
        <v>1272</v>
      </c>
    </row>
    <row r="43" spans="1:2" ht="70">
      <c r="A43">
        <v>42</v>
      </c>
      <c r="B43" t="s">
        <v>1273</v>
      </c>
    </row>
    <row r="44" spans="1:2" ht="70">
      <c r="A44">
        <v>43</v>
      </c>
      <c r="B44" t="s">
        <v>1274</v>
      </c>
    </row>
    <row r="45" spans="1:2" ht="70">
      <c r="A45">
        <v>44</v>
      </c>
      <c r="B45" t="s">
        <v>1275</v>
      </c>
    </row>
    <row r="46" spans="1:2" ht="70">
      <c r="A46">
        <v>45</v>
      </c>
      <c r="B46" t="s">
        <v>1276</v>
      </c>
    </row>
    <row r="47" spans="1:2" ht="70">
      <c r="A47">
        <v>46</v>
      </c>
      <c r="B47" t="s">
        <v>1277</v>
      </c>
    </row>
    <row r="48" spans="1:2" ht="70">
      <c r="A48">
        <v>47</v>
      </c>
      <c r="B48" t="s">
        <v>1278</v>
      </c>
    </row>
    <row r="49" spans="1:2" ht="70">
      <c r="A49">
        <v>48</v>
      </c>
      <c r="B49" t="s">
        <v>1279</v>
      </c>
    </row>
    <row r="50" spans="1:2" ht="70">
      <c r="A50">
        <v>49</v>
      </c>
      <c r="B50" t="s">
        <v>1280</v>
      </c>
    </row>
    <row r="51" spans="1:2" ht="70">
      <c r="A51">
        <v>50</v>
      </c>
      <c r="B51" t="s">
        <v>1281</v>
      </c>
    </row>
    <row r="52" spans="1:2" ht="70">
      <c r="A52">
        <v>51</v>
      </c>
      <c r="B52" t="s">
        <v>1282</v>
      </c>
    </row>
    <row r="53" spans="1:2" ht="70">
      <c r="A53">
        <v>52</v>
      </c>
      <c r="B53" t="s">
        <v>1283</v>
      </c>
    </row>
    <row r="54" spans="1:2" ht="70">
      <c r="A54">
        <v>53</v>
      </c>
      <c r="B54" t="s">
        <v>1284</v>
      </c>
    </row>
    <row r="55" spans="1:2" ht="70">
      <c r="A55">
        <v>54</v>
      </c>
      <c r="B55" t="s">
        <v>1285</v>
      </c>
    </row>
    <row r="56" spans="1:2" ht="70">
      <c r="A56">
        <v>55</v>
      </c>
      <c r="B56" t="s">
        <v>1286</v>
      </c>
    </row>
    <row r="57" spans="1:2" ht="70">
      <c r="A57">
        <v>56</v>
      </c>
      <c r="B57" t="s">
        <v>1287</v>
      </c>
    </row>
    <row r="58" spans="1:2" ht="70">
      <c r="A58">
        <v>57</v>
      </c>
      <c r="B58" t="s">
        <v>1288</v>
      </c>
    </row>
    <row r="59" spans="1:2" ht="70">
      <c r="A59">
        <v>58</v>
      </c>
      <c r="B59" t="s">
        <v>1289</v>
      </c>
    </row>
    <row r="60" spans="1:2" ht="70">
      <c r="A60">
        <v>59</v>
      </c>
      <c r="B60" t="s">
        <v>1290</v>
      </c>
    </row>
    <row r="61" spans="1:2" ht="70">
      <c r="A61">
        <v>60</v>
      </c>
      <c r="B61" t="s">
        <v>1291</v>
      </c>
    </row>
    <row r="62" spans="1:2" ht="70">
      <c r="A62">
        <v>61</v>
      </c>
      <c r="B62" t="s">
        <v>1262</v>
      </c>
    </row>
    <row r="63" spans="1:2" ht="70">
      <c r="A63">
        <v>62</v>
      </c>
      <c r="B63" t="s">
        <v>1263</v>
      </c>
    </row>
    <row r="64" spans="1:2" ht="70">
      <c r="A64">
        <v>63</v>
      </c>
      <c r="B64" t="s">
        <v>1264</v>
      </c>
    </row>
    <row r="65" spans="1:2" ht="70">
      <c r="A65">
        <v>64</v>
      </c>
      <c r="B65" t="s">
        <v>1265</v>
      </c>
    </row>
    <row r="66" spans="1:2" ht="70">
      <c r="A66">
        <v>65</v>
      </c>
      <c r="B66" t="s">
        <v>1266</v>
      </c>
    </row>
    <row r="67" spans="1:2" ht="70">
      <c r="A67">
        <v>66</v>
      </c>
      <c r="B67" t="s">
        <v>1267</v>
      </c>
    </row>
    <row r="68" spans="1:2" ht="70">
      <c r="A68">
        <v>67</v>
      </c>
      <c r="B68" t="s">
        <v>1268</v>
      </c>
    </row>
    <row r="69" spans="1:2" ht="70">
      <c r="A69">
        <v>68</v>
      </c>
      <c r="B69" t="s">
        <v>1269</v>
      </c>
    </row>
    <row r="70" spans="1:2" ht="84">
      <c r="A70">
        <v>69</v>
      </c>
      <c r="B70" t="s">
        <v>1292</v>
      </c>
    </row>
    <row r="71" spans="1:2" ht="70">
      <c r="A71">
        <v>70</v>
      </c>
      <c r="B71" t="s">
        <v>1271</v>
      </c>
    </row>
    <row r="72" spans="1:2" ht="70">
      <c r="A72">
        <v>71</v>
      </c>
      <c r="B72" t="s">
        <v>1272</v>
      </c>
    </row>
    <row r="73" spans="1:2" ht="70">
      <c r="A73">
        <v>72</v>
      </c>
      <c r="B73" t="s">
        <v>1273</v>
      </c>
    </row>
    <row r="74" spans="1:2" ht="70">
      <c r="A74">
        <v>73</v>
      </c>
      <c r="B74" t="s">
        <v>1274</v>
      </c>
    </row>
    <row r="75" spans="1:2" ht="70">
      <c r="A75">
        <v>74</v>
      </c>
      <c r="B75" t="s">
        <v>1275</v>
      </c>
    </row>
    <row r="76" spans="1:2" ht="70">
      <c r="A76">
        <v>75</v>
      </c>
      <c r="B76" t="s">
        <v>1276</v>
      </c>
    </row>
    <row r="77" spans="1:2" ht="70">
      <c r="A77">
        <v>76</v>
      </c>
      <c r="B77" t="s">
        <v>1277</v>
      </c>
    </row>
    <row r="78" spans="1:2" ht="70">
      <c r="A78">
        <v>77</v>
      </c>
      <c r="B78" t="s">
        <v>1278</v>
      </c>
    </row>
    <row r="79" spans="1:2" ht="70">
      <c r="A79">
        <v>78</v>
      </c>
      <c r="B79" t="s">
        <v>1279</v>
      </c>
    </row>
    <row r="80" spans="1:2" ht="70">
      <c r="A80">
        <v>79</v>
      </c>
      <c r="B80" t="s">
        <v>1280</v>
      </c>
    </row>
    <row r="81" spans="1:2" ht="70">
      <c r="A81">
        <v>80</v>
      </c>
      <c r="B81" t="s">
        <v>1281</v>
      </c>
    </row>
    <row r="82" spans="1:2" ht="70">
      <c r="A82">
        <v>81</v>
      </c>
      <c r="B82" t="s">
        <v>1282</v>
      </c>
    </row>
    <row r="83" spans="1:2" ht="70">
      <c r="A83">
        <v>82</v>
      </c>
      <c r="B83" t="s">
        <v>1283</v>
      </c>
    </row>
    <row r="84" spans="1:2" ht="70">
      <c r="A84">
        <v>83</v>
      </c>
      <c r="B84" t="s">
        <v>1284</v>
      </c>
    </row>
    <row r="85" spans="1:2" ht="70">
      <c r="A85">
        <v>84</v>
      </c>
      <c r="B85" t="s">
        <v>1285</v>
      </c>
    </row>
    <row r="86" spans="1:2" ht="70">
      <c r="A86">
        <v>85</v>
      </c>
      <c r="B86" t="s">
        <v>1286</v>
      </c>
    </row>
    <row r="87" spans="1:2" ht="70">
      <c r="A87">
        <v>86</v>
      </c>
      <c r="B87" t="s">
        <v>1287</v>
      </c>
    </row>
    <row r="88" spans="1:2" ht="70">
      <c r="A88">
        <v>87</v>
      </c>
      <c r="B88" t="s">
        <v>1288</v>
      </c>
    </row>
    <row r="89" spans="1:2" ht="70">
      <c r="A89">
        <v>88</v>
      </c>
      <c r="B89" t="s">
        <v>1289</v>
      </c>
    </row>
    <row r="90" spans="1:2" ht="70">
      <c r="A90">
        <v>89</v>
      </c>
      <c r="B90" t="s">
        <v>1290</v>
      </c>
    </row>
    <row r="91" spans="1:2" ht="70">
      <c r="A91">
        <v>90</v>
      </c>
      <c r="B91" t="s">
        <v>1291</v>
      </c>
    </row>
    <row r="92" spans="1:2" ht="70">
      <c r="A92">
        <v>91</v>
      </c>
      <c r="B92" t="s">
        <v>1262</v>
      </c>
    </row>
    <row r="93" spans="1:2" ht="70">
      <c r="A93">
        <v>92</v>
      </c>
      <c r="B93" t="s">
        <v>1263</v>
      </c>
    </row>
    <row r="94" spans="1:2" ht="70">
      <c r="A94">
        <v>93</v>
      </c>
      <c r="B94" t="s">
        <v>1264</v>
      </c>
    </row>
    <row r="95" spans="1:2" ht="70">
      <c r="A95">
        <v>94</v>
      </c>
      <c r="B95" t="s">
        <v>1265</v>
      </c>
    </row>
    <row r="96" spans="1:2" ht="70">
      <c r="A96">
        <v>95</v>
      </c>
      <c r="B96" t="s">
        <v>1266</v>
      </c>
    </row>
    <row r="97" spans="1:2" ht="70">
      <c r="A97">
        <v>96</v>
      </c>
      <c r="B97" t="s">
        <v>1267</v>
      </c>
    </row>
    <row r="98" spans="1:2" ht="70">
      <c r="A98">
        <v>97</v>
      </c>
      <c r="B98" t="s">
        <v>1268</v>
      </c>
    </row>
    <row r="99" spans="1:2" ht="70">
      <c r="A99">
        <v>98</v>
      </c>
      <c r="B99" t="s">
        <v>1269</v>
      </c>
    </row>
    <row r="100" spans="1:2" ht="84">
      <c r="A100">
        <v>99</v>
      </c>
      <c r="B100" t="s">
        <v>1292</v>
      </c>
    </row>
    <row r="101" spans="1:2" ht="70">
      <c r="A101">
        <v>100</v>
      </c>
      <c r="B101" t="s">
        <v>1271</v>
      </c>
    </row>
    <row r="102" spans="1:2" ht="70">
      <c r="A102">
        <v>101</v>
      </c>
      <c r="B102" t="s">
        <v>1272</v>
      </c>
    </row>
    <row r="103" spans="1:2" ht="70">
      <c r="A103">
        <v>102</v>
      </c>
      <c r="B103" t="s">
        <v>1273</v>
      </c>
    </row>
    <row r="104" spans="1:2" ht="70">
      <c r="A104">
        <v>103</v>
      </c>
      <c r="B104" t="s">
        <v>1274</v>
      </c>
    </row>
    <row r="105" spans="1:2" ht="70">
      <c r="A105">
        <v>104</v>
      </c>
      <c r="B105" t="s">
        <v>1275</v>
      </c>
    </row>
    <row r="106" spans="1:2" ht="70">
      <c r="A106">
        <v>105</v>
      </c>
      <c r="B106" t="s">
        <v>1276</v>
      </c>
    </row>
    <row r="107" spans="1:2" ht="70">
      <c r="A107">
        <v>106</v>
      </c>
      <c r="B107" t="s">
        <v>1277</v>
      </c>
    </row>
    <row r="108" spans="1:2" ht="70">
      <c r="A108">
        <v>107</v>
      </c>
      <c r="B108" t="s">
        <v>1278</v>
      </c>
    </row>
    <row r="109" spans="1:2" ht="70">
      <c r="A109">
        <v>108</v>
      </c>
      <c r="B109" t="s">
        <v>1279</v>
      </c>
    </row>
    <row r="110" spans="1:2" ht="84">
      <c r="A110">
        <v>109</v>
      </c>
      <c r="B110" t="s">
        <v>1293</v>
      </c>
    </row>
    <row r="111" spans="1:2" ht="70">
      <c r="A111">
        <v>110</v>
      </c>
      <c r="B111" t="s">
        <v>1281</v>
      </c>
    </row>
    <row r="112" spans="1:2" ht="70">
      <c r="A112">
        <v>111</v>
      </c>
      <c r="B112" t="s">
        <v>1282</v>
      </c>
    </row>
    <row r="113" spans="1:2" ht="70">
      <c r="A113">
        <v>112</v>
      </c>
      <c r="B113" t="s">
        <v>1283</v>
      </c>
    </row>
    <row r="114" spans="1:2" ht="70">
      <c r="A114">
        <v>113</v>
      </c>
      <c r="B114" t="s">
        <v>1284</v>
      </c>
    </row>
    <row r="115" spans="1:2" ht="70">
      <c r="A115">
        <v>114</v>
      </c>
      <c r="B115" t="s">
        <v>1285</v>
      </c>
    </row>
    <row r="116" spans="1:2" ht="70">
      <c r="A116">
        <v>115</v>
      </c>
      <c r="B116" t="s">
        <v>1286</v>
      </c>
    </row>
    <row r="117" spans="1:2" ht="70">
      <c r="A117">
        <v>116</v>
      </c>
      <c r="B117" t="s">
        <v>1287</v>
      </c>
    </row>
    <row r="118" spans="1:2" ht="70">
      <c r="A118">
        <v>117</v>
      </c>
      <c r="B118" t="s">
        <v>1288</v>
      </c>
    </row>
    <row r="119" spans="1:2" ht="84">
      <c r="A119">
        <v>118</v>
      </c>
      <c r="B119" t="s">
        <v>1294</v>
      </c>
    </row>
    <row r="120" spans="1:2" ht="70">
      <c r="A120">
        <v>119</v>
      </c>
      <c r="B120" t="s">
        <v>1290</v>
      </c>
    </row>
    <row r="121" spans="1:2" ht="84">
      <c r="A121">
        <v>120</v>
      </c>
      <c r="B121" t="s">
        <v>1295</v>
      </c>
    </row>
    <row r="122" spans="1:2" ht="70">
      <c r="A122">
        <v>121</v>
      </c>
      <c r="B122" t="s">
        <v>1262</v>
      </c>
    </row>
    <row r="123" spans="1:2" ht="70">
      <c r="A123">
        <v>122</v>
      </c>
      <c r="B123" t="s">
        <v>1263</v>
      </c>
    </row>
    <row r="124" spans="1:2" ht="70">
      <c r="A124">
        <v>123</v>
      </c>
      <c r="B124" t="s">
        <v>1264</v>
      </c>
    </row>
    <row r="125" spans="1:2" ht="70">
      <c r="A125">
        <v>124</v>
      </c>
      <c r="B125" t="s">
        <v>1265</v>
      </c>
    </row>
    <row r="126" spans="1:2" ht="70">
      <c r="A126">
        <v>125</v>
      </c>
      <c r="B126" t="s">
        <v>1266</v>
      </c>
    </row>
    <row r="127" spans="1:2" ht="70">
      <c r="A127">
        <v>126</v>
      </c>
      <c r="B127" t="s">
        <v>1267</v>
      </c>
    </row>
    <row r="128" spans="1:2" ht="70">
      <c r="A128">
        <v>127</v>
      </c>
      <c r="B128" t="s">
        <v>1268</v>
      </c>
    </row>
    <row r="129" spans="1:2" ht="70">
      <c r="A129">
        <v>128</v>
      </c>
      <c r="B129" t="s">
        <v>1269</v>
      </c>
    </row>
    <row r="130" spans="1:2" ht="84">
      <c r="A130">
        <v>129</v>
      </c>
      <c r="B130" t="s">
        <v>1292</v>
      </c>
    </row>
    <row r="131" spans="1:2" ht="70">
      <c r="A131">
        <v>130</v>
      </c>
      <c r="B131" t="s">
        <v>1271</v>
      </c>
    </row>
    <row r="132" spans="1:2" ht="70">
      <c r="A132">
        <v>131</v>
      </c>
      <c r="B132" t="s">
        <v>1272</v>
      </c>
    </row>
    <row r="133" spans="1:2" ht="70">
      <c r="A133">
        <v>132</v>
      </c>
      <c r="B133" t="s">
        <v>1273</v>
      </c>
    </row>
    <row r="134" spans="1:2" ht="70">
      <c r="A134">
        <v>133</v>
      </c>
      <c r="B134" t="s">
        <v>1274</v>
      </c>
    </row>
    <row r="135" spans="1:2" ht="70">
      <c r="A135">
        <v>134</v>
      </c>
      <c r="B135" t="s">
        <v>1275</v>
      </c>
    </row>
    <row r="136" spans="1:2" ht="70">
      <c r="A136">
        <v>135</v>
      </c>
      <c r="B136" t="s">
        <v>1276</v>
      </c>
    </row>
    <row r="137" spans="1:2" ht="70">
      <c r="A137">
        <v>136</v>
      </c>
      <c r="B137" t="s">
        <v>1277</v>
      </c>
    </row>
    <row r="138" spans="1:2" ht="70">
      <c r="A138">
        <v>137</v>
      </c>
      <c r="B138" t="s">
        <v>1278</v>
      </c>
    </row>
    <row r="139" spans="1:2" ht="84">
      <c r="A139">
        <v>138</v>
      </c>
      <c r="B139" t="s">
        <v>1296</v>
      </c>
    </row>
    <row r="140" spans="1:2" ht="84">
      <c r="A140">
        <v>139</v>
      </c>
      <c r="B140" t="s">
        <v>1293</v>
      </c>
    </row>
    <row r="141" spans="1:2" ht="70">
      <c r="A141">
        <v>140</v>
      </c>
      <c r="B141" t="s">
        <v>1281</v>
      </c>
    </row>
    <row r="142" spans="1:2" ht="70">
      <c r="A142">
        <v>141</v>
      </c>
      <c r="B142" t="s">
        <v>1282</v>
      </c>
    </row>
    <row r="143" spans="1:2" ht="70">
      <c r="A143">
        <v>142</v>
      </c>
      <c r="B143" t="s">
        <v>1283</v>
      </c>
    </row>
    <row r="144" spans="1:2" ht="70">
      <c r="A144">
        <v>143</v>
      </c>
      <c r="B144" t="s">
        <v>1284</v>
      </c>
    </row>
    <row r="145" spans="1:2" ht="84">
      <c r="A145">
        <v>144</v>
      </c>
      <c r="B145" t="s">
        <v>1297</v>
      </c>
    </row>
    <row r="146" spans="1:2" ht="70">
      <c r="A146">
        <v>145</v>
      </c>
      <c r="B146" t="s">
        <v>1286</v>
      </c>
    </row>
    <row r="147" spans="1:2" ht="70">
      <c r="A147">
        <v>146</v>
      </c>
      <c r="B147" t="s">
        <v>1287</v>
      </c>
    </row>
    <row r="148" spans="1:2" ht="70">
      <c r="A148">
        <v>147</v>
      </c>
      <c r="B148" t="s">
        <v>1288</v>
      </c>
    </row>
    <row r="149" spans="1:2" ht="84">
      <c r="A149">
        <v>148</v>
      </c>
      <c r="B149" t="s">
        <v>1294</v>
      </c>
    </row>
    <row r="150" spans="1:2" ht="84">
      <c r="A150">
        <v>149</v>
      </c>
      <c r="B150" t="s">
        <v>1298</v>
      </c>
    </row>
    <row r="151" spans="1:2" ht="84">
      <c r="A151">
        <v>150</v>
      </c>
      <c r="B151" t="s">
        <v>1295</v>
      </c>
    </row>
    <row r="152" spans="1:2" ht="84">
      <c r="A152">
        <v>151</v>
      </c>
      <c r="B152" t="s">
        <v>1299</v>
      </c>
    </row>
    <row r="153" spans="1:2" ht="84">
      <c r="A153">
        <v>152</v>
      </c>
      <c r="B153" t="s">
        <v>1300</v>
      </c>
    </row>
    <row r="154" spans="1:2" ht="70">
      <c r="A154">
        <v>153</v>
      </c>
      <c r="B154" t="s">
        <v>1264</v>
      </c>
    </row>
    <row r="155" spans="1:2" ht="70">
      <c r="A155">
        <v>154</v>
      </c>
      <c r="B155" t="s">
        <v>1265</v>
      </c>
    </row>
    <row r="156" spans="1:2" ht="70">
      <c r="A156">
        <v>155</v>
      </c>
      <c r="B156" t="s">
        <v>1266</v>
      </c>
    </row>
    <row r="157" spans="1:2" ht="84">
      <c r="A157">
        <v>156</v>
      </c>
      <c r="B157" t="s">
        <v>1301</v>
      </c>
    </row>
    <row r="158" spans="1:2" ht="84">
      <c r="A158">
        <v>157</v>
      </c>
      <c r="B158" t="s">
        <v>1302</v>
      </c>
    </row>
    <row r="159" spans="1:2" ht="84">
      <c r="A159">
        <v>158</v>
      </c>
      <c r="B159" t="s">
        <v>1303</v>
      </c>
    </row>
    <row r="160" spans="1:2" ht="84">
      <c r="A160">
        <v>159</v>
      </c>
      <c r="B160" t="s">
        <v>1292</v>
      </c>
    </row>
    <row r="161" spans="1:2" ht="84">
      <c r="A161">
        <v>160</v>
      </c>
      <c r="B161" t="s">
        <v>1304</v>
      </c>
    </row>
    <row r="162" spans="1:2" ht="70">
      <c r="A162">
        <v>161</v>
      </c>
      <c r="B162" t="s">
        <v>1272</v>
      </c>
    </row>
    <row r="163" spans="1:2" ht="84">
      <c r="A163">
        <v>162</v>
      </c>
      <c r="B163" t="s">
        <v>1305</v>
      </c>
    </row>
    <row r="164" spans="1:2" ht="84">
      <c r="A164">
        <v>163</v>
      </c>
      <c r="B164" t="s">
        <v>1306</v>
      </c>
    </row>
    <row r="165" spans="1:2" ht="84">
      <c r="A165">
        <v>164</v>
      </c>
      <c r="B165" t="s">
        <v>1307</v>
      </c>
    </row>
    <row r="166" spans="1:2" ht="84">
      <c r="A166">
        <v>165</v>
      </c>
      <c r="B166" t="s">
        <v>1308</v>
      </c>
    </row>
    <row r="167" spans="1:2" ht="70">
      <c r="A167">
        <v>166</v>
      </c>
      <c r="B167" t="s">
        <v>1277</v>
      </c>
    </row>
    <row r="168" spans="1:2" ht="84">
      <c r="A168">
        <v>167</v>
      </c>
      <c r="B168" t="s">
        <v>1309</v>
      </c>
    </row>
    <row r="169" spans="1:2" ht="84">
      <c r="A169">
        <v>168</v>
      </c>
      <c r="B169" t="s">
        <v>1296</v>
      </c>
    </row>
    <row r="170" spans="1:2" ht="84">
      <c r="A170">
        <v>169</v>
      </c>
      <c r="B170" t="s">
        <v>1293</v>
      </c>
    </row>
    <row r="171" spans="1:2" ht="70">
      <c r="A171">
        <v>170</v>
      </c>
      <c r="B171" t="s">
        <v>1281</v>
      </c>
    </row>
    <row r="172" spans="1:2" ht="84">
      <c r="A172">
        <v>171</v>
      </c>
      <c r="B172" t="s">
        <v>1310</v>
      </c>
    </row>
    <row r="173" spans="1:2" ht="70">
      <c r="A173">
        <v>172</v>
      </c>
      <c r="B173" t="s">
        <v>1283</v>
      </c>
    </row>
    <row r="174" spans="1:2" ht="84">
      <c r="A174">
        <v>173</v>
      </c>
      <c r="B174" t="s">
        <v>1311</v>
      </c>
    </row>
    <row r="175" spans="1:2" ht="84">
      <c r="A175">
        <v>174</v>
      </c>
      <c r="B175" t="s">
        <v>1297</v>
      </c>
    </row>
    <row r="176" spans="1:2" ht="84">
      <c r="A176">
        <v>175</v>
      </c>
      <c r="B176" t="s">
        <v>1312</v>
      </c>
    </row>
    <row r="177" spans="1:2" ht="84">
      <c r="A177">
        <v>176</v>
      </c>
      <c r="B177" t="s">
        <v>1313</v>
      </c>
    </row>
    <row r="178" spans="1:2" ht="70">
      <c r="A178">
        <v>177</v>
      </c>
      <c r="B178" t="s">
        <v>1288</v>
      </c>
    </row>
    <row r="179" spans="1:2" ht="84">
      <c r="A179">
        <v>178</v>
      </c>
      <c r="B179" t="s">
        <v>1294</v>
      </c>
    </row>
    <row r="180" spans="1:2" ht="84">
      <c r="A180">
        <v>179</v>
      </c>
      <c r="B180" t="s">
        <v>1298</v>
      </c>
    </row>
    <row r="181" spans="1:2" ht="84">
      <c r="A181">
        <v>180</v>
      </c>
      <c r="B181" t="s">
        <v>1295</v>
      </c>
    </row>
    <row r="182" spans="1:2" ht="84">
      <c r="A182">
        <v>181</v>
      </c>
      <c r="B182" t="s">
        <v>1299</v>
      </c>
    </row>
    <row r="183" spans="1:2" ht="84">
      <c r="A183">
        <v>182</v>
      </c>
      <c r="B183" t="s">
        <v>1300</v>
      </c>
    </row>
    <row r="184" spans="1:2" ht="84">
      <c r="A184">
        <v>183</v>
      </c>
      <c r="B184" t="s">
        <v>1314</v>
      </c>
    </row>
    <row r="185" spans="1:2" ht="84">
      <c r="A185">
        <v>184</v>
      </c>
      <c r="B185" t="s">
        <v>1315</v>
      </c>
    </row>
    <row r="186" spans="1:2" ht="84">
      <c r="A186">
        <v>185</v>
      </c>
      <c r="B186" t="s">
        <v>1316</v>
      </c>
    </row>
    <row r="187" spans="1:2" ht="84">
      <c r="A187">
        <v>186</v>
      </c>
      <c r="B187" t="s">
        <v>1301</v>
      </c>
    </row>
    <row r="188" spans="1:2" ht="84">
      <c r="A188">
        <v>187</v>
      </c>
      <c r="B188" t="s">
        <v>1302</v>
      </c>
    </row>
    <row r="189" spans="1:2" ht="84">
      <c r="A189">
        <v>188</v>
      </c>
      <c r="B189" t="s">
        <v>1303</v>
      </c>
    </row>
    <row r="190" spans="1:2" ht="84">
      <c r="A190">
        <v>189</v>
      </c>
      <c r="B190" t="s">
        <v>1292</v>
      </c>
    </row>
    <row r="191" spans="1:2" ht="84">
      <c r="A191">
        <v>190</v>
      </c>
      <c r="B191" t="s">
        <v>1304</v>
      </c>
    </row>
    <row r="192" spans="1:2" ht="70">
      <c r="A192">
        <v>191</v>
      </c>
      <c r="B192" t="s">
        <v>1272</v>
      </c>
    </row>
    <row r="193" spans="1:2" ht="84">
      <c r="A193">
        <v>192</v>
      </c>
      <c r="B193" t="s">
        <v>1305</v>
      </c>
    </row>
    <row r="194" spans="1:2" ht="84">
      <c r="A194">
        <v>193</v>
      </c>
      <c r="B194" t="s">
        <v>1306</v>
      </c>
    </row>
    <row r="195" spans="1:2" ht="84">
      <c r="A195">
        <v>194</v>
      </c>
      <c r="B195" t="s">
        <v>1307</v>
      </c>
    </row>
    <row r="196" spans="1:2" ht="84">
      <c r="A196">
        <v>195</v>
      </c>
      <c r="B196" t="s">
        <v>1308</v>
      </c>
    </row>
    <row r="197" spans="1:2" ht="84">
      <c r="A197">
        <v>196</v>
      </c>
      <c r="B197" t="s">
        <v>1317</v>
      </c>
    </row>
    <row r="198" spans="1:2" ht="84">
      <c r="A198">
        <v>197</v>
      </c>
      <c r="B198" t="s">
        <v>1309</v>
      </c>
    </row>
    <row r="199" spans="1:2" ht="84">
      <c r="A199">
        <v>198</v>
      </c>
      <c r="B199" t="s">
        <v>1296</v>
      </c>
    </row>
    <row r="200" spans="1:2" ht="84">
      <c r="A200">
        <v>199</v>
      </c>
      <c r="B200" t="s">
        <v>1293</v>
      </c>
    </row>
    <row r="201" spans="1:2" ht="70">
      <c r="A201">
        <v>200</v>
      </c>
      <c r="B201" t="s">
        <v>1281</v>
      </c>
    </row>
    <row r="202" spans="1:2" ht="84">
      <c r="A202">
        <v>201</v>
      </c>
      <c r="B202" t="s">
        <v>1310</v>
      </c>
    </row>
    <row r="203" spans="1:2" ht="70">
      <c r="A203">
        <v>202</v>
      </c>
      <c r="B203" t="s">
        <v>1283</v>
      </c>
    </row>
    <row r="204" spans="1:2" ht="84">
      <c r="A204">
        <v>203</v>
      </c>
      <c r="B204" t="s">
        <v>1311</v>
      </c>
    </row>
    <row r="205" spans="1:2" ht="84">
      <c r="A205">
        <v>204</v>
      </c>
      <c r="B205" t="s">
        <v>1297</v>
      </c>
    </row>
    <row r="206" spans="1:2" ht="84">
      <c r="A206">
        <v>205</v>
      </c>
      <c r="B206" t="s">
        <v>1312</v>
      </c>
    </row>
    <row r="207" spans="1:2" ht="84">
      <c r="A207">
        <v>206</v>
      </c>
      <c r="B207" t="s">
        <v>1313</v>
      </c>
    </row>
    <row r="208" spans="1:2" ht="70">
      <c r="A208">
        <v>207</v>
      </c>
      <c r="B208" t="s">
        <v>1288</v>
      </c>
    </row>
    <row r="209" spans="1:2" ht="84">
      <c r="A209">
        <v>208</v>
      </c>
      <c r="B209" t="s">
        <v>1294</v>
      </c>
    </row>
    <row r="210" spans="1:2" ht="84">
      <c r="A210">
        <v>209</v>
      </c>
      <c r="B210" t="s">
        <v>1298</v>
      </c>
    </row>
    <row r="211" spans="1:2" ht="84">
      <c r="A211">
        <v>210</v>
      </c>
      <c r="B211" t="s">
        <v>1295</v>
      </c>
    </row>
    <row r="212" spans="1:2" ht="84">
      <c r="A212">
        <v>211</v>
      </c>
      <c r="B212" t="s">
        <v>1299</v>
      </c>
    </row>
    <row r="213" spans="1:2" ht="84">
      <c r="A213">
        <v>212</v>
      </c>
      <c r="B213" t="s">
        <v>1300</v>
      </c>
    </row>
    <row r="214" spans="1:2" ht="84">
      <c r="A214">
        <v>213</v>
      </c>
      <c r="B214" t="s">
        <v>1314</v>
      </c>
    </row>
    <row r="215" spans="1:2" ht="84">
      <c r="A215">
        <v>214</v>
      </c>
      <c r="B215" t="s">
        <v>1315</v>
      </c>
    </row>
    <row r="216" spans="1:2" ht="84">
      <c r="A216">
        <v>215</v>
      </c>
      <c r="B216" t="s">
        <v>1316</v>
      </c>
    </row>
    <row r="217" spans="1:2" ht="84">
      <c r="A217">
        <v>216</v>
      </c>
      <c r="B217" t="s">
        <v>1301</v>
      </c>
    </row>
    <row r="218" spans="1:2" ht="84">
      <c r="A218">
        <v>217</v>
      </c>
      <c r="B218" t="s">
        <v>1302</v>
      </c>
    </row>
    <row r="219" spans="1:2" ht="84">
      <c r="A219">
        <v>218</v>
      </c>
      <c r="B219" t="s">
        <v>1303</v>
      </c>
    </row>
    <row r="220" spans="1:2" ht="84">
      <c r="A220">
        <v>219</v>
      </c>
      <c r="B220" t="s">
        <v>1292</v>
      </c>
    </row>
    <row r="221" spans="1:2" ht="84">
      <c r="A221">
        <v>220</v>
      </c>
      <c r="B221" t="s">
        <v>1304</v>
      </c>
    </row>
    <row r="222" spans="1:2" ht="84">
      <c r="A222">
        <v>221</v>
      </c>
      <c r="B222" t="s">
        <v>1318</v>
      </c>
    </row>
    <row r="223" spans="1:2" ht="84">
      <c r="A223">
        <v>222</v>
      </c>
      <c r="B223" t="s">
        <v>1305</v>
      </c>
    </row>
    <row r="224" spans="1:2" ht="84">
      <c r="A224">
        <v>223</v>
      </c>
      <c r="B224" t="s">
        <v>1306</v>
      </c>
    </row>
    <row r="225" spans="1:2" ht="84">
      <c r="A225">
        <v>224</v>
      </c>
      <c r="B225" t="s">
        <v>1307</v>
      </c>
    </row>
    <row r="226" spans="1:2" ht="84">
      <c r="A226">
        <v>225</v>
      </c>
      <c r="B226" t="s">
        <v>1308</v>
      </c>
    </row>
    <row r="227" spans="1:2" ht="84">
      <c r="A227">
        <v>226</v>
      </c>
      <c r="B227" t="s">
        <v>1317</v>
      </c>
    </row>
    <row r="228" spans="1:2" ht="84">
      <c r="A228">
        <v>227</v>
      </c>
      <c r="B228" t="s">
        <v>1309</v>
      </c>
    </row>
    <row r="229" spans="1:2" ht="84">
      <c r="A229">
        <v>228</v>
      </c>
      <c r="B229" t="s">
        <v>1296</v>
      </c>
    </row>
    <row r="230" spans="1:2" ht="84">
      <c r="A230">
        <v>229</v>
      </c>
      <c r="B230" t="s">
        <v>1293</v>
      </c>
    </row>
    <row r="231" spans="1:2" ht="84">
      <c r="A231">
        <v>230</v>
      </c>
      <c r="B231" t="s">
        <v>1319</v>
      </c>
    </row>
    <row r="232" spans="1:2" ht="84">
      <c r="A232">
        <v>231</v>
      </c>
      <c r="B232" t="s">
        <v>1310</v>
      </c>
    </row>
    <row r="233" spans="1:2" ht="70">
      <c r="A233">
        <v>232</v>
      </c>
      <c r="B233" t="s">
        <v>1283</v>
      </c>
    </row>
    <row r="234" spans="1:2" ht="84">
      <c r="A234">
        <v>233</v>
      </c>
      <c r="B234" t="s">
        <v>1311</v>
      </c>
    </row>
    <row r="235" spans="1:2" ht="84">
      <c r="A235">
        <v>234</v>
      </c>
      <c r="B235" t="s">
        <v>1297</v>
      </c>
    </row>
    <row r="236" spans="1:2" ht="84">
      <c r="A236">
        <v>235</v>
      </c>
      <c r="B236" t="s">
        <v>1312</v>
      </c>
    </row>
    <row r="237" spans="1:2" ht="84">
      <c r="A237">
        <v>236</v>
      </c>
      <c r="B237" t="s">
        <v>1313</v>
      </c>
    </row>
    <row r="238" spans="1:2" ht="70">
      <c r="A238">
        <v>237</v>
      </c>
      <c r="B238" t="s">
        <v>1288</v>
      </c>
    </row>
    <row r="239" spans="1:2" ht="84">
      <c r="A239">
        <v>238</v>
      </c>
      <c r="B239" t="s">
        <v>1294</v>
      </c>
    </row>
    <row r="240" spans="1:2" ht="84">
      <c r="A240">
        <v>239</v>
      </c>
      <c r="B240" t="s">
        <v>1298</v>
      </c>
    </row>
    <row r="241" spans="1:2" ht="84">
      <c r="A241">
        <v>240</v>
      </c>
      <c r="B241" t="s">
        <v>1295</v>
      </c>
    </row>
    <row r="242" spans="1:2" ht="84">
      <c r="A242">
        <v>241</v>
      </c>
      <c r="B242" t="s">
        <v>1299</v>
      </c>
    </row>
    <row r="243" spans="1:2" ht="84">
      <c r="A243">
        <v>242</v>
      </c>
      <c r="B243" t="s">
        <v>1300</v>
      </c>
    </row>
    <row r="244" spans="1:2" ht="84">
      <c r="A244">
        <v>243</v>
      </c>
      <c r="B244" t="s">
        <v>1314</v>
      </c>
    </row>
    <row r="245" spans="1:2" ht="84">
      <c r="A245">
        <v>244</v>
      </c>
      <c r="B245" t="s">
        <v>1315</v>
      </c>
    </row>
    <row r="246" spans="1:2" ht="84">
      <c r="A246">
        <v>245</v>
      </c>
      <c r="B246" t="s">
        <v>1316</v>
      </c>
    </row>
    <row r="247" spans="1:2" ht="84">
      <c r="A247">
        <v>246</v>
      </c>
      <c r="B247" t="s">
        <v>1301</v>
      </c>
    </row>
    <row r="248" spans="1:2" ht="84">
      <c r="A248">
        <v>247</v>
      </c>
      <c r="B248" t="s">
        <v>1302</v>
      </c>
    </row>
    <row r="249" spans="1:2" ht="84">
      <c r="A249">
        <v>248</v>
      </c>
      <c r="B249" t="s">
        <v>1303</v>
      </c>
    </row>
    <row r="250" spans="1:2" ht="84">
      <c r="A250">
        <v>249</v>
      </c>
      <c r="B250" t="s">
        <v>1292</v>
      </c>
    </row>
    <row r="251" spans="1:2" ht="84">
      <c r="A251">
        <v>250</v>
      </c>
      <c r="B251" t="s">
        <v>1304</v>
      </c>
    </row>
    <row r="252" spans="1:2" ht="84">
      <c r="A252">
        <v>251</v>
      </c>
      <c r="B252" t="s">
        <v>1318</v>
      </c>
    </row>
    <row r="253" spans="1:2" ht="84">
      <c r="A253">
        <v>252</v>
      </c>
      <c r="B253" t="s">
        <v>1305</v>
      </c>
    </row>
    <row r="254" spans="1:2" ht="84">
      <c r="A254">
        <v>253</v>
      </c>
      <c r="B254" t="s">
        <v>1306</v>
      </c>
    </row>
    <row r="255" spans="1:2" ht="84">
      <c r="A255">
        <v>254</v>
      </c>
      <c r="B255" t="s">
        <v>1307</v>
      </c>
    </row>
    <row r="256" spans="1:2" ht="84">
      <c r="A256">
        <v>255</v>
      </c>
      <c r="B256" t="s">
        <v>1308</v>
      </c>
    </row>
    <row r="257" spans="1:2" ht="84">
      <c r="A257">
        <v>256</v>
      </c>
      <c r="B257" t="s">
        <v>1317</v>
      </c>
    </row>
    <row r="258" spans="1:2" ht="84">
      <c r="A258">
        <v>257</v>
      </c>
      <c r="B258" t="s">
        <v>1309</v>
      </c>
    </row>
    <row r="259" spans="1:2" ht="84">
      <c r="A259">
        <v>258</v>
      </c>
      <c r="B259" t="s">
        <v>1296</v>
      </c>
    </row>
    <row r="260" spans="1:2" ht="84">
      <c r="A260">
        <v>259</v>
      </c>
      <c r="B260" t="s">
        <v>1293</v>
      </c>
    </row>
    <row r="261" spans="1:2" ht="84">
      <c r="A261">
        <v>260</v>
      </c>
      <c r="B261" t="s">
        <v>1319</v>
      </c>
    </row>
    <row r="262" spans="1:2" ht="84">
      <c r="A262">
        <v>261</v>
      </c>
      <c r="B262" t="s">
        <v>1310</v>
      </c>
    </row>
    <row r="263" spans="1:2" ht="84">
      <c r="A263">
        <v>262</v>
      </c>
      <c r="B263" t="s">
        <v>1320</v>
      </c>
    </row>
    <row r="264" spans="1:2" ht="84">
      <c r="A264">
        <v>263</v>
      </c>
      <c r="B264" t="s">
        <v>1311</v>
      </c>
    </row>
    <row r="265" spans="1:2" ht="84">
      <c r="A265">
        <v>264</v>
      </c>
      <c r="B265" t="s">
        <v>1297</v>
      </c>
    </row>
    <row r="266" spans="1:2" ht="84">
      <c r="A266">
        <v>265</v>
      </c>
      <c r="B266" t="s">
        <v>1312</v>
      </c>
    </row>
    <row r="267" spans="1:2" ht="84">
      <c r="A267">
        <v>266</v>
      </c>
      <c r="B267" t="s">
        <v>1313</v>
      </c>
    </row>
    <row r="268" spans="1:2" ht="84">
      <c r="A268">
        <v>267</v>
      </c>
      <c r="B268" t="s">
        <v>1321</v>
      </c>
    </row>
    <row r="269" spans="1:2" ht="84">
      <c r="A269">
        <v>268</v>
      </c>
      <c r="B269" t="s">
        <v>1294</v>
      </c>
    </row>
    <row r="270" spans="1:2" ht="84">
      <c r="A270">
        <v>269</v>
      </c>
      <c r="B270" t="s">
        <v>1298</v>
      </c>
    </row>
    <row r="271" spans="1:2" ht="84">
      <c r="A271">
        <v>270</v>
      </c>
      <c r="B271" t="s">
        <v>1295</v>
      </c>
    </row>
    <row r="272" spans="1:2" ht="84">
      <c r="A272">
        <v>271</v>
      </c>
      <c r="B272" t="s">
        <v>1299</v>
      </c>
    </row>
    <row r="273" spans="1:2" ht="84">
      <c r="A273">
        <v>272</v>
      </c>
      <c r="B273" t="s">
        <v>1300</v>
      </c>
    </row>
    <row r="274" spans="1:2" ht="84">
      <c r="A274">
        <v>273</v>
      </c>
      <c r="B274" t="s">
        <v>1314</v>
      </c>
    </row>
    <row r="275" spans="1:2" ht="84">
      <c r="A275">
        <v>274</v>
      </c>
      <c r="B275" t="s">
        <v>1315</v>
      </c>
    </row>
    <row r="276" spans="1:2" ht="84">
      <c r="A276">
        <v>275</v>
      </c>
      <c r="B276" t="s">
        <v>1316</v>
      </c>
    </row>
    <row r="277" spans="1:2" ht="84">
      <c r="A277">
        <v>276</v>
      </c>
      <c r="B277" t="s">
        <v>1301</v>
      </c>
    </row>
    <row r="278" spans="1:2" ht="84">
      <c r="A278">
        <v>277</v>
      </c>
      <c r="B278" t="s">
        <v>1302</v>
      </c>
    </row>
    <row r="279" spans="1:2" ht="84">
      <c r="A279">
        <v>278</v>
      </c>
      <c r="B279" t="s">
        <v>1303</v>
      </c>
    </row>
    <row r="280" spans="1:2" ht="84">
      <c r="A280">
        <v>279</v>
      </c>
      <c r="B280" t="s">
        <v>1292</v>
      </c>
    </row>
    <row r="281" spans="1:2" ht="84">
      <c r="A281">
        <v>280</v>
      </c>
      <c r="B281" t="s">
        <v>1304</v>
      </c>
    </row>
    <row r="282" spans="1:2" ht="84">
      <c r="A282">
        <v>281</v>
      </c>
      <c r="B282" t="s">
        <v>1318</v>
      </c>
    </row>
    <row r="283" spans="1:2" ht="84">
      <c r="A283">
        <v>282</v>
      </c>
      <c r="B283" t="s">
        <v>1305</v>
      </c>
    </row>
    <row r="284" spans="1:2" ht="84">
      <c r="A284">
        <v>283</v>
      </c>
      <c r="B284" t="s">
        <v>1306</v>
      </c>
    </row>
    <row r="285" spans="1:2" ht="84">
      <c r="A285">
        <v>284</v>
      </c>
      <c r="B285" t="s">
        <v>1307</v>
      </c>
    </row>
    <row r="286" spans="1:2" ht="84">
      <c r="A286">
        <v>285</v>
      </c>
      <c r="B286" t="s">
        <v>1308</v>
      </c>
    </row>
    <row r="287" spans="1:2" ht="84">
      <c r="A287">
        <v>286</v>
      </c>
      <c r="B287" t="s">
        <v>1317</v>
      </c>
    </row>
    <row r="288" spans="1:2" ht="84">
      <c r="A288">
        <v>287</v>
      </c>
      <c r="B288" t="s">
        <v>1309</v>
      </c>
    </row>
    <row r="289" spans="1:2" ht="84">
      <c r="A289">
        <v>288</v>
      </c>
      <c r="B289" t="s">
        <v>1296</v>
      </c>
    </row>
    <row r="290" spans="1:2" ht="84">
      <c r="A290">
        <v>289</v>
      </c>
      <c r="B290" t="s">
        <v>1293</v>
      </c>
    </row>
    <row r="291" spans="1:2" ht="84">
      <c r="A291">
        <v>290</v>
      </c>
      <c r="B291" t="s">
        <v>1319</v>
      </c>
    </row>
    <row r="292" spans="1:2" ht="84">
      <c r="A292">
        <v>291</v>
      </c>
      <c r="B292" t="s">
        <v>1310</v>
      </c>
    </row>
    <row r="293" spans="1:2" ht="84">
      <c r="A293">
        <v>292</v>
      </c>
      <c r="B293" t="s">
        <v>1320</v>
      </c>
    </row>
    <row r="294" spans="1:2" ht="84">
      <c r="A294">
        <v>293</v>
      </c>
      <c r="B294" t="s">
        <v>1311</v>
      </c>
    </row>
    <row r="295" spans="1:2" ht="84">
      <c r="A295">
        <v>294</v>
      </c>
      <c r="B295" t="s">
        <v>1297</v>
      </c>
    </row>
    <row r="296" spans="1:2" ht="84">
      <c r="A296">
        <v>295</v>
      </c>
      <c r="B296" t="s">
        <v>1312</v>
      </c>
    </row>
    <row r="297" spans="1:2" ht="84">
      <c r="A297">
        <v>296</v>
      </c>
      <c r="B297" t="s">
        <v>1313</v>
      </c>
    </row>
    <row r="298" spans="1:2" ht="84">
      <c r="A298">
        <v>297</v>
      </c>
      <c r="B298" t="s">
        <v>1321</v>
      </c>
    </row>
    <row r="299" spans="1:2" ht="84">
      <c r="A299">
        <v>298</v>
      </c>
      <c r="B299" t="s">
        <v>1294</v>
      </c>
    </row>
    <row r="300" spans="1:2" ht="84">
      <c r="A300">
        <v>299</v>
      </c>
      <c r="B300" t="s">
        <v>1298</v>
      </c>
    </row>
    <row r="301" spans="1:2" ht="84">
      <c r="A301">
        <v>300</v>
      </c>
      <c r="B301" t="s">
        <v>1295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Instructions_说明</vt:lpstr>
      <vt:lpstr>Sheet 1</vt:lpstr>
      <vt:lpstr>Test_Sorted</vt:lpstr>
      <vt:lpstr>Scoring</vt:lpstr>
      <vt:lpstr>Translation_Revision_Log</vt:lpstr>
      <vt:lpstr>Context_Backup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c37713</cp:lastModifiedBy>
  <dcterms:modified xsi:type="dcterms:W3CDTF">2026-01-28T16:56:07Z</dcterms:modified>
</cp:coreProperties>
</file>